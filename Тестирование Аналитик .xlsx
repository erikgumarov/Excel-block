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77052\Desktop\ДЗ по аналитике\Финальный проект\"/>
    </mc:Choice>
  </mc:AlternateContent>
  <xr:revisionPtr revIDLastSave="0" documentId="13_ncr:1_{C4AD3834-1E9E-4B0E-ACC0-61C7A7F6DA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3" sheetId="3" r:id="rId1"/>
    <sheet name="Лист1" sheetId="1" r:id="rId2"/>
    <sheet name="Лист2" sheetId="2" r:id="rId3"/>
  </sheets>
  <definedNames>
    <definedName name="_xlnm._FilterDatabase" localSheetId="1" hidden="1">Лист1!$A$1:$I$505</definedName>
    <definedName name="_xlnm._FilterDatabase" localSheetId="2" hidden="1">Лист2!$A$1:$E$505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H2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F3" i="1" a="1"/>
  <c r="F3" i="1" s="1"/>
  <c r="G3" i="1" a="1"/>
  <c r="G3" i="1" s="1"/>
  <c r="F4" i="1" a="1"/>
  <c r="F4" i="1" s="1"/>
  <c r="G4" i="1" a="1"/>
  <c r="G4" i="1" s="1"/>
  <c r="F5" i="1" a="1"/>
  <c r="F5" i="1" s="1"/>
  <c r="G5" i="1" a="1"/>
  <c r="G5" i="1"/>
  <c r="F6" i="1" a="1"/>
  <c r="F6" i="1" s="1"/>
  <c r="G6" i="1" a="1"/>
  <c r="G6" i="1" s="1"/>
  <c r="F7" i="1" a="1"/>
  <c r="F7" i="1" s="1"/>
  <c r="G7" i="1" a="1"/>
  <c r="G7" i="1" s="1"/>
  <c r="F8" i="1" a="1"/>
  <c r="F8" i="1" s="1"/>
  <c r="G8" i="1" a="1"/>
  <c r="G8" i="1"/>
  <c r="F9" i="1" a="1"/>
  <c r="F9" i="1" s="1"/>
  <c r="G9" i="1" a="1"/>
  <c r="G9" i="1" s="1"/>
  <c r="F10" i="1" a="1"/>
  <c r="F10" i="1" s="1"/>
  <c r="G10" i="1" a="1"/>
  <c r="G10" i="1" s="1"/>
  <c r="F11" i="1" a="1"/>
  <c r="F11" i="1" s="1"/>
  <c r="G11" i="1" a="1"/>
  <c r="G11" i="1"/>
  <c r="F12" i="1" a="1"/>
  <c r="F12" i="1" s="1"/>
  <c r="G12" i="1" a="1"/>
  <c r="G12" i="1" s="1"/>
  <c r="F13" i="1" a="1"/>
  <c r="F13" i="1" s="1"/>
  <c r="G13" i="1" a="1"/>
  <c r="G13" i="1" s="1"/>
  <c r="F14" i="1" a="1"/>
  <c r="F14" i="1" s="1"/>
  <c r="G14" i="1" a="1"/>
  <c r="G14" i="1"/>
  <c r="F15" i="1" a="1"/>
  <c r="F15" i="1" s="1"/>
  <c r="G15" i="1" a="1"/>
  <c r="G15" i="1" s="1"/>
  <c r="F16" i="1" a="1"/>
  <c r="F16" i="1" s="1"/>
  <c r="G16" i="1" a="1"/>
  <c r="G16" i="1" s="1"/>
  <c r="F17" i="1" a="1"/>
  <c r="F17" i="1" s="1"/>
  <c r="G17" i="1" a="1"/>
  <c r="G17" i="1"/>
  <c r="F18" i="1" a="1"/>
  <c r="F18" i="1" s="1"/>
  <c r="G18" i="1" a="1"/>
  <c r="G18" i="1" s="1"/>
  <c r="F19" i="1" a="1"/>
  <c r="F19" i="1" s="1"/>
  <c r="G19" i="1" a="1"/>
  <c r="G19" i="1" s="1"/>
  <c r="F20" i="1" a="1"/>
  <c r="F20" i="1" s="1"/>
  <c r="G20" i="1" a="1"/>
  <c r="G20" i="1"/>
  <c r="F21" i="1" a="1"/>
  <c r="F21" i="1" s="1"/>
  <c r="G21" i="1" a="1"/>
  <c r="G21" i="1" s="1"/>
  <c r="F22" i="1" a="1"/>
  <c r="F22" i="1" s="1"/>
  <c r="G22" i="1" a="1"/>
  <c r="G22" i="1" s="1"/>
  <c r="F23" i="1" a="1"/>
  <c r="F23" i="1" s="1"/>
  <c r="G23" i="1" a="1"/>
  <c r="G23" i="1" s="1"/>
  <c r="F24" i="1" a="1"/>
  <c r="F24" i="1" s="1"/>
  <c r="G24" i="1" a="1"/>
  <c r="G24" i="1" s="1"/>
  <c r="F25" i="1" a="1"/>
  <c r="F25" i="1" s="1"/>
  <c r="G25" i="1" a="1"/>
  <c r="G25" i="1" s="1"/>
  <c r="F26" i="1" a="1"/>
  <c r="F26" i="1" s="1"/>
  <c r="G26" i="1" a="1"/>
  <c r="G26" i="1" s="1"/>
  <c r="F27" i="1" a="1"/>
  <c r="F27" i="1" s="1"/>
  <c r="G27" i="1" a="1"/>
  <c r="G27" i="1" s="1"/>
  <c r="F28" i="1" a="1"/>
  <c r="F28" i="1" s="1"/>
  <c r="G28" i="1" a="1"/>
  <c r="G28" i="1" s="1"/>
  <c r="F29" i="1" a="1"/>
  <c r="F29" i="1" s="1"/>
  <c r="G29" i="1" a="1"/>
  <c r="G29" i="1"/>
  <c r="F30" i="1" a="1"/>
  <c r="F30" i="1" s="1"/>
  <c r="G30" i="1" a="1"/>
  <c r="G30" i="1" s="1"/>
  <c r="F31" i="1" a="1"/>
  <c r="F31" i="1" s="1"/>
  <c r="G31" i="1" a="1"/>
  <c r="G31" i="1" s="1"/>
  <c r="F32" i="1" a="1"/>
  <c r="F32" i="1" s="1"/>
  <c r="G32" i="1" a="1"/>
  <c r="G32" i="1"/>
  <c r="F33" i="1" a="1"/>
  <c r="F33" i="1" s="1"/>
  <c r="G33" i="1" a="1"/>
  <c r="G33" i="1" s="1"/>
  <c r="F34" i="1" a="1"/>
  <c r="F34" i="1" s="1"/>
  <c r="G34" i="1" a="1"/>
  <c r="G34" i="1" s="1"/>
  <c r="F35" i="1" a="1"/>
  <c r="F35" i="1" s="1"/>
  <c r="G35" i="1" a="1"/>
  <c r="G35" i="1"/>
  <c r="F36" i="1" a="1"/>
  <c r="F36" i="1" s="1"/>
  <c r="G36" i="1" a="1"/>
  <c r="G36" i="1" s="1"/>
  <c r="F37" i="1" a="1"/>
  <c r="F37" i="1" s="1"/>
  <c r="G37" i="1" a="1"/>
  <c r="G37" i="1" s="1"/>
  <c r="F38" i="1" a="1"/>
  <c r="F38" i="1" s="1"/>
  <c r="G38" i="1" a="1"/>
  <c r="G38" i="1"/>
  <c r="F39" i="1" a="1"/>
  <c r="F39" i="1" s="1"/>
  <c r="G39" i="1" a="1"/>
  <c r="G39" i="1" s="1"/>
  <c r="F40" i="1" a="1"/>
  <c r="F40" i="1" s="1"/>
  <c r="G40" i="1" a="1"/>
  <c r="G40" i="1" s="1"/>
  <c r="F41" i="1" a="1"/>
  <c r="F41" i="1" s="1"/>
  <c r="G41" i="1" a="1"/>
  <c r="G41" i="1"/>
  <c r="F42" i="1" a="1"/>
  <c r="F42" i="1" s="1"/>
  <c r="G42" i="1" a="1"/>
  <c r="G42" i="1" s="1"/>
  <c r="F43" i="1" a="1"/>
  <c r="F43" i="1" s="1"/>
  <c r="G43" i="1" a="1"/>
  <c r="G43" i="1" s="1"/>
  <c r="F44" i="1" a="1"/>
  <c r="F44" i="1" s="1"/>
  <c r="G44" i="1" a="1"/>
  <c r="G44" i="1" s="1"/>
  <c r="F45" i="1" a="1"/>
  <c r="F45" i="1" s="1"/>
  <c r="G45" i="1" a="1"/>
  <c r="G45" i="1" s="1"/>
  <c r="F46" i="1" a="1"/>
  <c r="F46" i="1" s="1"/>
  <c r="G46" i="1" a="1"/>
  <c r="G46" i="1" s="1"/>
  <c r="F47" i="1" a="1"/>
  <c r="F47" i="1" s="1"/>
  <c r="G47" i="1" a="1"/>
  <c r="G47" i="1" s="1"/>
  <c r="F48" i="1" a="1"/>
  <c r="F48" i="1" s="1"/>
  <c r="G48" i="1" a="1"/>
  <c r="G48" i="1" s="1"/>
  <c r="F49" i="1" a="1"/>
  <c r="F49" i="1" s="1"/>
  <c r="G49" i="1" a="1"/>
  <c r="G49" i="1" s="1"/>
  <c r="F50" i="1" a="1"/>
  <c r="F50" i="1" s="1"/>
  <c r="G50" i="1" a="1"/>
  <c r="G50" i="1" s="1"/>
  <c r="F51" i="1" a="1"/>
  <c r="F51" i="1" s="1"/>
  <c r="G51" i="1" a="1"/>
  <c r="G51" i="1" s="1"/>
  <c r="F52" i="1" a="1"/>
  <c r="F52" i="1" s="1"/>
  <c r="G52" i="1" a="1"/>
  <c r="G52" i="1" s="1"/>
  <c r="F53" i="1" a="1"/>
  <c r="F53" i="1" s="1"/>
  <c r="G53" i="1" a="1"/>
  <c r="G53" i="1" s="1"/>
  <c r="F54" i="1" a="1"/>
  <c r="F54" i="1" s="1"/>
  <c r="G54" i="1" a="1"/>
  <c r="G54" i="1" s="1"/>
  <c r="F55" i="1" a="1"/>
  <c r="F55" i="1" s="1"/>
  <c r="G55" i="1" a="1"/>
  <c r="G55" i="1" s="1"/>
  <c r="F56" i="1" a="1"/>
  <c r="F56" i="1" s="1"/>
  <c r="G56" i="1" a="1"/>
  <c r="G56" i="1" s="1"/>
  <c r="F57" i="1" a="1"/>
  <c r="F57" i="1" s="1"/>
  <c r="G57" i="1" a="1"/>
  <c r="G57" i="1" s="1"/>
  <c r="F58" i="1" a="1"/>
  <c r="F58" i="1" s="1"/>
  <c r="G58" i="1" a="1"/>
  <c r="G58" i="1" s="1"/>
  <c r="F59" i="1" a="1"/>
  <c r="F59" i="1" s="1"/>
  <c r="G59" i="1" a="1"/>
  <c r="G59" i="1" s="1"/>
  <c r="F60" i="1" a="1"/>
  <c r="F60" i="1" s="1"/>
  <c r="G60" i="1" a="1"/>
  <c r="G60" i="1" s="1"/>
  <c r="F61" i="1" a="1"/>
  <c r="F61" i="1" s="1"/>
  <c r="G61" i="1" a="1"/>
  <c r="G61" i="1" s="1"/>
  <c r="F62" i="1" a="1"/>
  <c r="F62" i="1" s="1"/>
  <c r="G62" i="1" a="1"/>
  <c r="G62" i="1" s="1"/>
  <c r="F63" i="1" a="1"/>
  <c r="F63" i="1" s="1"/>
  <c r="G63" i="1" a="1"/>
  <c r="G63" i="1" s="1"/>
  <c r="F64" i="1" a="1"/>
  <c r="F64" i="1" s="1"/>
  <c r="G64" i="1" a="1"/>
  <c r="G64" i="1" s="1"/>
  <c r="F65" i="1" a="1"/>
  <c r="F65" i="1" s="1"/>
  <c r="G65" i="1" a="1"/>
  <c r="G65" i="1"/>
  <c r="F66" i="1" a="1"/>
  <c r="F66" i="1" s="1"/>
  <c r="G66" i="1" a="1"/>
  <c r="G66" i="1" s="1"/>
  <c r="F67" i="1" a="1"/>
  <c r="F67" i="1" s="1"/>
  <c r="G67" i="1" a="1"/>
  <c r="G67" i="1" s="1"/>
  <c r="F68" i="1" a="1"/>
  <c r="F68" i="1" s="1"/>
  <c r="G68" i="1" a="1"/>
  <c r="G68" i="1" s="1"/>
  <c r="F69" i="1" a="1"/>
  <c r="F69" i="1" s="1"/>
  <c r="G69" i="1" a="1"/>
  <c r="G69" i="1" s="1"/>
  <c r="F70" i="1" a="1"/>
  <c r="F70" i="1" s="1"/>
  <c r="G70" i="1" a="1"/>
  <c r="G70" i="1" s="1"/>
  <c r="F71" i="1" a="1"/>
  <c r="F71" i="1" s="1"/>
  <c r="G71" i="1" a="1"/>
  <c r="G71" i="1"/>
  <c r="F72" i="1" a="1"/>
  <c r="F72" i="1" s="1"/>
  <c r="G72" i="1" a="1"/>
  <c r="G72" i="1" s="1"/>
  <c r="F73" i="1" a="1"/>
  <c r="F73" i="1" s="1"/>
  <c r="G73" i="1" a="1"/>
  <c r="G73" i="1" s="1"/>
  <c r="F74" i="1" a="1"/>
  <c r="F74" i="1" s="1"/>
  <c r="G74" i="1" a="1"/>
  <c r="G74" i="1" s="1"/>
  <c r="F75" i="1" a="1"/>
  <c r="F75" i="1" s="1"/>
  <c r="G75" i="1" a="1"/>
  <c r="G75" i="1" s="1"/>
  <c r="F76" i="1" a="1"/>
  <c r="F76" i="1" s="1"/>
  <c r="G76" i="1" a="1"/>
  <c r="G76" i="1" s="1"/>
  <c r="F77" i="1" a="1"/>
  <c r="F77" i="1" s="1"/>
  <c r="G77" i="1" a="1"/>
  <c r="G77" i="1" s="1"/>
  <c r="F78" i="1" a="1"/>
  <c r="F78" i="1" s="1"/>
  <c r="G78" i="1" a="1"/>
  <c r="G78" i="1" s="1"/>
  <c r="F79" i="1" a="1"/>
  <c r="F79" i="1" s="1"/>
  <c r="G79" i="1" a="1"/>
  <c r="G79" i="1" s="1"/>
  <c r="F80" i="1" a="1"/>
  <c r="F80" i="1" s="1"/>
  <c r="G80" i="1" a="1"/>
  <c r="G80" i="1"/>
  <c r="F81" i="1" a="1"/>
  <c r="F81" i="1" s="1"/>
  <c r="G81" i="1" a="1"/>
  <c r="G81" i="1" s="1"/>
  <c r="F82" i="1" a="1"/>
  <c r="F82" i="1" s="1"/>
  <c r="G82" i="1" a="1"/>
  <c r="G82" i="1" s="1"/>
  <c r="F83" i="1" a="1"/>
  <c r="F83" i="1" s="1"/>
  <c r="G83" i="1" a="1"/>
  <c r="G83" i="1" s="1"/>
  <c r="F84" i="1" a="1"/>
  <c r="F84" i="1" s="1"/>
  <c r="G84" i="1" a="1"/>
  <c r="G84" i="1" s="1"/>
  <c r="F85" i="1" a="1"/>
  <c r="F85" i="1" s="1"/>
  <c r="G85" i="1" a="1"/>
  <c r="G85" i="1" s="1"/>
  <c r="F86" i="1" a="1"/>
  <c r="F86" i="1" s="1"/>
  <c r="G86" i="1" a="1"/>
  <c r="G86" i="1" s="1"/>
  <c r="F87" i="1" a="1"/>
  <c r="F87" i="1" s="1"/>
  <c r="G87" i="1" a="1"/>
  <c r="G87" i="1" s="1"/>
  <c r="F88" i="1" a="1"/>
  <c r="F88" i="1" s="1"/>
  <c r="G88" i="1" a="1"/>
  <c r="G88" i="1" s="1"/>
  <c r="F89" i="1" a="1"/>
  <c r="F89" i="1" s="1"/>
  <c r="G89" i="1" a="1"/>
  <c r="G89" i="1"/>
  <c r="F90" i="1" a="1"/>
  <c r="F90" i="1" s="1"/>
  <c r="G90" i="1" a="1"/>
  <c r="G90" i="1" s="1"/>
  <c r="F91" i="1" a="1"/>
  <c r="F91" i="1" s="1"/>
  <c r="G91" i="1" a="1"/>
  <c r="G91" i="1" s="1"/>
  <c r="F92" i="1" a="1"/>
  <c r="F92" i="1" s="1"/>
  <c r="G92" i="1" a="1"/>
  <c r="G92" i="1"/>
  <c r="F93" i="1" a="1"/>
  <c r="F93" i="1" s="1"/>
  <c r="G93" i="1" a="1"/>
  <c r="G93" i="1" s="1"/>
  <c r="F94" i="1" a="1"/>
  <c r="F94" i="1" s="1"/>
  <c r="G94" i="1" a="1"/>
  <c r="G94" i="1" s="1"/>
  <c r="F95" i="1" a="1"/>
  <c r="F95" i="1" s="1"/>
  <c r="G95" i="1" a="1"/>
  <c r="G95" i="1" s="1"/>
  <c r="F96" i="1" a="1"/>
  <c r="F96" i="1" s="1"/>
  <c r="G96" i="1" a="1"/>
  <c r="G96" i="1" s="1"/>
  <c r="F97" i="1" a="1"/>
  <c r="F97" i="1"/>
  <c r="G97" i="1" a="1"/>
  <c r="G97" i="1" s="1"/>
  <c r="F98" i="1" a="1"/>
  <c r="F98" i="1" s="1"/>
  <c r="G98" i="1" a="1"/>
  <c r="G98" i="1"/>
  <c r="F99" i="1" a="1"/>
  <c r="F99" i="1" s="1"/>
  <c r="G99" i="1" a="1"/>
  <c r="G99" i="1" s="1"/>
  <c r="F100" i="1" a="1"/>
  <c r="F100" i="1" s="1"/>
  <c r="G100" i="1" a="1"/>
  <c r="G100" i="1" s="1"/>
  <c r="F101" i="1" a="1"/>
  <c r="F101" i="1" s="1"/>
  <c r="G101" i="1" a="1"/>
  <c r="G101" i="1"/>
  <c r="F102" i="1" a="1"/>
  <c r="F102" i="1" s="1"/>
  <c r="G102" i="1" a="1"/>
  <c r="G102" i="1" s="1"/>
  <c r="F103" i="1" a="1"/>
  <c r="F103" i="1" s="1"/>
  <c r="G103" i="1" a="1"/>
  <c r="G103" i="1" s="1"/>
  <c r="F104" i="1" a="1"/>
  <c r="F104" i="1" s="1"/>
  <c r="G104" i="1" a="1"/>
  <c r="G104" i="1" s="1"/>
  <c r="F105" i="1" a="1"/>
  <c r="F105" i="1" s="1"/>
  <c r="G105" i="1" a="1"/>
  <c r="G105" i="1" s="1"/>
  <c r="F106" i="1" a="1"/>
  <c r="F106" i="1" s="1"/>
  <c r="G106" i="1" a="1"/>
  <c r="G106" i="1" s="1"/>
  <c r="F107" i="1" a="1"/>
  <c r="F107" i="1" s="1"/>
  <c r="G107" i="1" a="1"/>
  <c r="G107" i="1" s="1"/>
  <c r="F108" i="1" a="1"/>
  <c r="F108" i="1" s="1"/>
  <c r="G108" i="1" a="1"/>
  <c r="G108" i="1" s="1"/>
  <c r="F109" i="1" a="1"/>
  <c r="F109" i="1" s="1"/>
  <c r="G109" i="1" a="1"/>
  <c r="G109" i="1" s="1"/>
  <c r="F110" i="1" a="1"/>
  <c r="F110" i="1" s="1"/>
  <c r="G110" i="1" a="1"/>
  <c r="G110" i="1" s="1"/>
  <c r="F111" i="1" a="1"/>
  <c r="F111" i="1" s="1"/>
  <c r="G111" i="1" a="1"/>
  <c r="G111" i="1" s="1"/>
  <c r="F112" i="1" a="1"/>
  <c r="F112" i="1"/>
  <c r="G112" i="1" a="1"/>
  <c r="G112" i="1" s="1"/>
  <c r="F113" i="1" a="1"/>
  <c r="F113" i="1" s="1"/>
  <c r="G113" i="1" a="1"/>
  <c r="G113" i="1" s="1"/>
  <c r="F114" i="1" a="1"/>
  <c r="F114" i="1" s="1"/>
  <c r="G114" i="1" a="1"/>
  <c r="G114" i="1" s="1"/>
  <c r="F115" i="1" a="1"/>
  <c r="F115" i="1"/>
  <c r="G115" i="1" a="1"/>
  <c r="G115" i="1" s="1"/>
  <c r="F116" i="1" a="1"/>
  <c r="F116" i="1" s="1"/>
  <c r="G116" i="1" a="1"/>
  <c r="G116" i="1" s="1"/>
  <c r="F117" i="1" a="1"/>
  <c r="F117" i="1" s="1"/>
  <c r="G117" i="1" a="1"/>
  <c r="G117" i="1" s="1"/>
  <c r="F118" i="1" a="1"/>
  <c r="F118" i="1" s="1"/>
  <c r="G118" i="1" a="1"/>
  <c r="G118" i="1" s="1"/>
  <c r="F119" i="1" a="1"/>
  <c r="F119" i="1" s="1"/>
  <c r="G119" i="1" a="1"/>
  <c r="G119" i="1" s="1"/>
  <c r="F120" i="1" a="1"/>
  <c r="F120" i="1" s="1"/>
  <c r="G120" i="1" a="1"/>
  <c r="G120" i="1" s="1"/>
  <c r="F121" i="1" a="1"/>
  <c r="F121" i="1"/>
  <c r="G121" i="1" a="1"/>
  <c r="G121" i="1" s="1"/>
  <c r="F122" i="1" a="1"/>
  <c r="F122" i="1" s="1"/>
  <c r="G122" i="1" a="1"/>
  <c r="G122" i="1" s="1"/>
  <c r="F123" i="1" a="1"/>
  <c r="F123" i="1" s="1"/>
  <c r="G123" i="1" a="1"/>
  <c r="G123" i="1" s="1"/>
  <c r="F124" i="1" a="1"/>
  <c r="F124" i="1" s="1"/>
  <c r="G124" i="1" a="1"/>
  <c r="G124" i="1" s="1"/>
  <c r="F125" i="1" a="1"/>
  <c r="F125" i="1" s="1"/>
  <c r="G125" i="1" a="1"/>
  <c r="G125" i="1" s="1"/>
  <c r="F126" i="1" a="1"/>
  <c r="F126" i="1" s="1"/>
  <c r="G126" i="1" a="1"/>
  <c r="G126" i="1" s="1"/>
  <c r="F127" i="1" a="1"/>
  <c r="F127" i="1" s="1"/>
  <c r="G127" i="1" a="1"/>
  <c r="G127" i="1" s="1"/>
  <c r="F128" i="1" a="1"/>
  <c r="F128" i="1" s="1"/>
  <c r="G128" i="1" a="1"/>
  <c r="G128" i="1" s="1"/>
  <c r="F129" i="1" a="1"/>
  <c r="F129" i="1" s="1"/>
  <c r="G129" i="1" a="1"/>
  <c r="G129" i="1" s="1"/>
  <c r="F130" i="1" a="1"/>
  <c r="F130" i="1" s="1"/>
  <c r="G130" i="1" a="1"/>
  <c r="G130" i="1" s="1"/>
  <c r="F131" i="1" a="1"/>
  <c r="F131" i="1" s="1"/>
  <c r="G131" i="1" a="1"/>
  <c r="G131" i="1" s="1"/>
  <c r="F132" i="1" a="1"/>
  <c r="F132" i="1" s="1"/>
  <c r="G132" i="1" a="1"/>
  <c r="G132" i="1" s="1"/>
  <c r="F133" i="1" a="1"/>
  <c r="F133" i="1"/>
  <c r="G133" i="1" a="1"/>
  <c r="G133" i="1" s="1"/>
  <c r="F134" i="1" a="1"/>
  <c r="F134" i="1" s="1"/>
  <c r="G134" i="1" a="1"/>
  <c r="G134" i="1"/>
  <c r="F135" i="1" a="1"/>
  <c r="F135" i="1" s="1"/>
  <c r="G135" i="1" a="1"/>
  <c r="G135" i="1" s="1"/>
  <c r="F136" i="1" a="1"/>
  <c r="F136" i="1" s="1"/>
  <c r="G136" i="1" a="1"/>
  <c r="G136" i="1" s="1"/>
  <c r="F137" i="1" a="1"/>
  <c r="F137" i="1" s="1"/>
  <c r="G137" i="1" a="1"/>
  <c r="G137" i="1" s="1"/>
  <c r="F138" i="1" a="1"/>
  <c r="F138" i="1" s="1"/>
  <c r="G138" i="1" a="1"/>
  <c r="G138" i="1" s="1"/>
  <c r="F139" i="1" a="1"/>
  <c r="F139" i="1" s="1"/>
  <c r="G139" i="1" a="1"/>
  <c r="G139" i="1" s="1"/>
  <c r="F140" i="1" a="1"/>
  <c r="F140" i="1" s="1"/>
  <c r="G140" i="1" a="1"/>
  <c r="G140" i="1" s="1"/>
  <c r="F141" i="1" a="1"/>
  <c r="F141" i="1" s="1"/>
  <c r="G141" i="1" a="1"/>
  <c r="G141" i="1" s="1"/>
  <c r="F142" i="1" a="1"/>
  <c r="F142" i="1" s="1"/>
  <c r="G142" i="1" a="1"/>
  <c r="G142" i="1" s="1"/>
  <c r="F143" i="1" a="1"/>
  <c r="F143" i="1" s="1"/>
  <c r="G143" i="1" a="1"/>
  <c r="G143" i="1" s="1"/>
  <c r="F144" i="1" a="1"/>
  <c r="F144" i="1" s="1"/>
  <c r="G144" i="1" a="1"/>
  <c r="G144" i="1" s="1"/>
  <c r="F145" i="1" a="1"/>
  <c r="F145" i="1" s="1"/>
  <c r="G145" i="1" a="1"/>
  <c r="G145" i="1" s="1"/>
  <c r="F146" i="1" a="1"/>
  <c r="F146" i="1" s="1"/>
  <c r="G146" i="1" a="1"/>
  <c r="G146" i="1"/>
  <c r="F147" i="1" a="1"/>
  <c r="F147" i="1" s="1"/>
  <c r="G147" i="1" a="1"/>
  <c r="G147" i="1" s="1"/>
  <c r="F148" i="1" a="1"/>
  <c r="F148" i="1"/>
  <c r="G148" i="1" a="1"/>
  <c r="G148" i="1" s="1"/>
  <c r="F149" i="1" a="1"/>
  <c r="F149" i="1" s="1"/>
  <c r="G149" i="1" a="1"/>
  <c r="G149" i="1" s="1"/>
  <c r="F150" i="1" a="1"/>
  <c r="F150" i="1" s="1"/>
  <c r="G150" i="1" a="1"/>
  <c r="G150" i="1" s="1"/>
  <c r="F151" i="1" a="1"/>
  <c r="F151" i="1" s="1"/>
  <c r="G151" i="1" a="1"/>
  <c r="G151" i="1" s="1"/>
  <c r="F152" i="1" a="1"/>
  <c r="F152" i="1" s="1"/>
  <c r="G152" i="1" a="1"/>
  <c r="G152" i="1"/>
  <c r="F153" i="1" a="1"/>
  <c r="F153" i="1" s="1"/>
  <c r="G153" i="1" a="1"/>
  <c r="G153" i="1" s="1"/>
  <c r="F154" i="1" a="1"/>
  <c r="F154" i="1" s="1"/>
  <c r="G154" i="1" a="1"/>
  <c r="G154" i="1" s="1"/>
  <c r="F155" i="1" a="1"/>
  <c r="F155" i="1" s="1"/>
  <c r="G155" i="1" a="1"/>
  <c r="G155" i="1"/>
  <c r="F156" i="1" a="1"/>
  <c r="F156" i="1" s="1"/>
  <c r="G156" i="1" a="1"/>
  <c r="G156" i="1" s="1"/>
  <c r="F157" i="1" a="1"/>
  <c r="F157" i="1" s="1"/>
  <c r="G157" i="1" a="1"/>
  <c r="G157" i="1" s="1"/>
  <c r="F158" i="1" a="1"/>
  <c r="F158" i="1" s="1"/>
  <c r="G158" i="1" a="1"/>
  <c r="G158" i="1" s="1"/>
  <c r="F159" i="1" a="1"/>
  <c r="F159" i="1" s="1"/>
  <c r="G159" i="1" a="1"/>
  <c r="G159" i="1" s="1"/>
  <c r="F160" i="1" a="1"/>
  <c r="F160" i="1" s="1"/>
  <c r="G160" i="1" a="1"/>
  <c r="G160" i="1" s="1"/>
  <c r="F161" i="1" a="1"/>
  <c r="F161" i="1" s="1"/>
  <c r="G161" i="1" a="1"/>
  <c r="G161" i="1" s="1"/>
  <c r="F162" i="1" a="1"/>
  <c r="F162" i="1" s="1"/>
  <c r="G162" i="1" a="1"/>
  <c r="G162" i="1" s="1"/>
  <c r="F163" i="1" a="1"/>
  <c r="F163" i="1" s="1"/>
  <c r="G163" i="1" a="1"/>
  <c r="G163" i="1" s="1"/>
  <c r="F164" i="1" a="1"/>
  <c r="F164" i="1" s="1"/>
  <c r="G164" i="1" a="1"/>
  <c r="G164" i="1" s="1"/>
  <c r="F165" i="1" a="1"/>
  <c r="F165" i="1" s="1"/>
  <c r="G165" i="1" a="1"/>
  <c r="G165" i="1" s="1"/>
  <c r="F166" i="1" a="1"/>
  <c r="F166" i="1"/>
  <c r="G166" i="1" a="1"/>
  <c r="G166" i="1" s="1"/>
  <c r="F167" i="1" a="1"/>
  <c r="F167" i="1" s="1"/>
  <c r="G167" i="1" a="1"/>
  <c r="G167" i="1" s="1"/>
  <c r="F168" i="1" a="1"/>
  <c r="F168" i="1" s="1"/>
  <c r="G168" i="1" a="1"/>
  <c r="G168" i="1" s="1"/>
  <c r="F169" i="1" a="1"/>
  <c r="F169" i="1"/>
  <c r="G169" i="1" a="1"/>
  <c r="G169" i="1" s="1"/>
  <c r="F170" i="1" a="1"/>
  <c r="F170" i="1" s="1"/>
  <c r="G170" i="1" a="1"/>
  <c r="G170" i="1" s="1"/>
  <c r="F171" i="1" a="1"/>
  <c r="F171" i="1" s="1"/>
  <c r="G171" i="1" a="1"/>
  <c r="G171" i="1" s="1"/>
  <c r="F172" i="1" a="1"/>
  <c r="F172" i="1" s="1"/>
  <c r="G172" i="1" a="1"/>
  <c r="G172" i="1" s="1"/>
  <c r="F173" i="1" a="1"/>
  <c r="F173" i="1" s="1"/>
  <c r="G173" i="1" a="1"/>
  <c r="G173" i="1" s="1"/>
  <c r="F174" i="1" a="1"/>
  <c r="F174" i="1" s="1"/>
  <c r="G174" i="1" a="1"/>
  <c r="G174" i="1" s="1"/>
  <c r="F175" i="1" a="1"/>
  <c r="F175" i="1"/>
  <c r="G175" i="1" a="1"/>
  <c r="G175" i="1" s="1"/>
  <c r="F176" i="1" a="1"/>
  <c r="F176" i="1" s="1"/>
  <c r="G176" i="1" a="1"/>
  <c r="G176" i="1" s="1"/>
  <c r="F177" i="1" a="1"/>
  <c r="F177" i="1" s="1"/>
  <c r="G177" i="1" a="1"/>
  <c r="G177" i="1" s="1"/>
  <c r="F178" i="1" a="1"/>
  <c r="F178" i="1" s="1"/>
  <c r="G178" i="1" a="1"/>
  <c r="G178" i="1" s="1"/>
  <c r="F179" i="1" a="1"/>
  <c r="F179" i="1" s="1"/>
  <c r="G179" i="1" a="1"/>
  <c r="G179" i="1" s="1"/>
  <c r="F180" i="1" a="1"/>
  <c r="F180" i="1" s="1"/>
  <c r="G180" i="1" a="1"/>
  <c r="G180" i="1" s="1"/>
  <c r="F181" i="1" a="1"/>
  <c r="F181" i="1" s="1"/>
  <c r="G181" i="1" a="1"/>
  <c r="G181" i="1" s="1"/>
  <c r="F182" i="1" a="1"/>
  <c r="F182" i="1" s="1"/>
  <c r="G182" i="1" a="1"/>
  <c r="G182" i="1"/>
  <c r="F183" i="1" a="1"/>
  <c r="F183" i="1" s="1"/>
  <c r="G183" i="1" a="1"/>
  <c r="G183" i="1" s="1"/>
  <c r="F184" i="1" a="1"/>
  <c r="F184" i="1" s="1"/>
  <c r="G184" i="1" a="1"/>
  <c r="G184" i="1" s="1"/>
  <c r="F185" i="1" a="1"/>
  <c r="F185" i="1" s="1"/>
  <c r="G185" i="1" a="1"/>
  <c r="G185" i="1" s="1"/>
  <c r="F186" i="1" a="1"/>
  <c r="F186" i="1" s="1"/>
  <c r="G186" i="1" a="1"/>
  <c r="G186" i="1" s="1"/>
  <c r="F187" i="1" a="1"/>
  <c r="F187" i="1"/>
  <c r="G187" i="1" a="1"/>
  <c r="G187" i="1" s="1"/>
  <c r="F188" i="1" a="1"/>
  <c r="F188" i="1" s="1"/>
  <c r="G188" i="1" a="1"/>
  <c r="G188" i="1"/>
  <c r="F189" i="1" a="1"/>
  <c r="F189" i="1" s="1"/>
  <c r="G189" i="1" a="1"/>
  <c r="G189" i="1" s="1"/>
  <c r="F190" i="1" a="1"/>
  <c r="F190" i="1" s="1"/>
  <c r="G190" i="1" a="1"/>
  <c r="G190" i="1" s="1"/>
  <c r="F191" i="1" a="1"/>
  <c r="F191" i="1" s="1"/>
  <c r="G191" i="1" a="1"/>
  <c r="G191" i="1" s="1"/>
  <c r="F192" i="1" a="1"/>
  <c r="F192" i="1" s="1"/>
  <c r="G192" i="1" a="1"/>
  <c r="G192" i="1" s="1"/>
  <c r="F193" i="1" a="1"/>
  <c r="F193" i="1" s="1"/>
  <c r="G193" i="1" a="1"/>
  <c r="G193" i="1" s="1"/>
  <c r="F194" i="1" a="1"/>
  <c r="F194" i="1" s="1"/>
  <c r="G194" i="1" a="1"/>
  <c r="G194" i="1" s="1"/>
  <c r="F195" i="1" a="1"/>
  <c r="F195" i="1" s="1"/>
  <c r="G195" i="1" a="1"/>
  <c r="G195" i="1" s="1"/>
  <c r="F196" i="1" a="1"/>
  <c r="F196" i="1" s="1"/>
  <c r="G196" i="1" a="1"/>
  <c r="G196" i="1" s="1"/>
  <c r="F197" i="1" a="1"/>
  <c r="F197" i="1" s="1"/>
  <c r="G197" i="1" a="1"/>
  <c r="G197" i="1" s="1"/>
  <c r="F198" i="1" a="1"/>
  <c r="F198" i="1" s="1"/>
  <c r="G198" i="1" a="1"/>
  <c r="G198" i="1" s="1"/>
  <c r="F199" i="1" a="1"/>
  <c r="F199" i="1" s="1"/>
  <c r="G199" i="1" a="1"/>
  <c r="G199" i="1" s="1"/>
  <c r="F200" i="1" a="1"/>
  <c r="F200" i="1" s="1"/>
  <c r="G200" i="1" a="1"/>
  <c r="G200" i="1"/>
  <c r="F201" i="1" a="1"/>
  <c r="F201" i="1" s="1"/>
  <c r="G201" i="1" a="1"/>
  <c r="G201" i="1" s="1"/>
  <c r="F202" i="1" a="1"/>
  <c r="F202" i="1"/>
  <c r="G202" i="1" a="1"/>
  <c r="G202" i="1" s="1"/>
  <c r="F203" i="1" a="1"/>
  <c r="F203" i="1" s="1"/>
  <c r="G203" i="1" a="1"/>
  <c r="G203" i="1" s="1"/>
  <c r="F204" i="1" a="1"/>
  <c r="F204" i="1" s="1"/>
  <c r="G204" i="1" a="1"/>
  <c r="G204" i="1" s="1"/>
  <c r="F205" i="1" a="1"/>
  <c r="F205" i="1" s="1"/>
  <c r="G205" i="1" a="1"/>
  <c r="G205" i="1" s="1"/>
  <c r="F206" i="1" a="1"/>
  <c r="F206" i="1" s="1"/>
  <c r="G206" i="1" a="1"/>
  <c r="G206" i="1"/>
  <c r="F207" i="1" a="1"/>
  <c r="F207" i="1" s="1"/>
  <c r="G207" i="1" a="1"/>
  <c r="G207" i="1" s="1"/>
  <c r="F208" i="1" a="1"/>
  <c r="F208" i="1" s="1"/>
  <c r="G208" i="1" a="1"/>
  <c r="G208" i="1" s="1"/>
  <c r="F209" i="1" a="1"/>
  <c r="F209" i="1" s="1"/>
  <c r="G209" i="1" a="1"/>
  <c r="G209" i="1"/>
  <c r="F210" i="1" a="1"/>
  <c r="F210" i="1" s="1"/>
  <c r="G210" i="1" a="1"/>
  <c r="G210" i="1" s="1"/>
  <c r="F211" i="1" a="1"/>
  <c r="F211" i="1" s="1"/>
  <c r="G211" i="1" a="1"/>
  <c r="G211" i="1" s="1"/>
  <c r="F212" i="1" a="1"/>
  <c r="F212" i="1" s="1"/>
  <c r="G212" i="1" a="1"/>
  <c r="G212" i="1" s="1"/>
  <c r="F213" i="1" a="1"/>
  <c r="F213" i="1" s="1"/>
  <c r="G213" i="1" a="1"/>
  <c r="G213" i="1" s="1"/>
  <c r="F214" i="1" a="1"/>
  <c r="F214" i="1" s="1"/>
  <c r="G214" i="1" a="1"/>
  <c r="G214" i="1" s="1"/>
  <c r="F215" i="1" a="1"/>
  <c r="F215" i="1" s="1"/>
  <c r="G215" i="1" a="1"/>
  <c r="G215" i="1" s="1"/>
  <c r="F216" i="1" a="1"/>
  <c r="F216" i="1" s="1"/>
  <c r="G216" i="1" a="1"/>
  <c r="G216" i="1" s="1"/>
  <c r="F217" i="1" a="1"/>
  <c r="F217" i="1" s="1"/>
  <c r="G217" i="1" a="1"/>
  <c r="G217" i="1" s="1"/>
  <c r="F218" i="1" a="1"/>
  <c r="F218" i="1" s="1"/>
  <c r="G218" i="1" a="1"/>
  <c r="G218" i="1" s="1"/>
  <c r="F219" i="1" a="1"/>
  <c r="F219" i="1" s="1"/>
  <c r="G219" i="1" a="1"/>
  <c r="G219" i="1" s="1"/>
  <c r="F220" i="1" a="1"/>
  <c r="F220" i="1"/>
  <c r="G220" i="1" a="1"/>
  <c r="G220" i="1" s="1"/>
  <c r="F221" i="1" a="1"/>
  <c r="F221" i="1" s="1"/>
  <c r="G221" i="1" a="1"/>
  <c r="G221" i="1" s="1"/>
  <c r="F222" i="1" a="1"/>
  <c r="F222" i="1" s="1"/>
  <c r="G222" i="1" a="1"/>
  <c r="G222" i="1" s="1"/>
  <c r="F223" i="1" a="1"/>
  <c r="F223" i="1"/>
  <c r="G223" i="1" a="1"/>
  <c r="G223" i="1" s="1"/>
  <c r="F224" i="1" a="1"/>
  <c r="F224" i="1" s="1"/>
  <c r="G224" i="1" a="1"/>
  <c r="G224" i="1" s="1"/>
  <c r="F225" i="1" a="1"/>
  <c r="F225" i="1" s="1"/>
  <c r="G225" i="1" a="1"/>
  <c r="G225" i="1" s="1"/>
  <c r="F226" i="1" a="1"/>
  <c r="F226" i="1" s="1"/>
  <c r="G226" i="1" a="1"/>
  <c r="G226" i="1" s="1"/>
  <c r="F227" i="1" a="1"/>
  <c r="F227" i="1" s="1"/>
  <c r="G227" i="1" a="1"/>
  <c r="G227" i="1" s="1"/>
  <c r="F228" i="1" a="1"/>
  <c r="F228" i="1" s="1"/>
  <c r="G228" i="1" a="1"/>
  <c r="G228" i="1" s="1"/>
  <c r="F229" i="1" a="1"/>
  <c r="F229" i="1"/>
  <c r="G229" i="1" a="1"/>
  <c r="G229" i="1" s="1"/>
  <c r="F230" i="1" a="1"/>
  <c r="F230" i="1" s="1"/>
  <c r="G230" i="1" a="1"/>
  <c r="G230" i="1" s="1"/>
  <c r="F231" i="1" a="1"/>
  <c r="F231" i="1" s="1"/>
  <c r="G231" i="1" a="1"/>
  <c r="G231" i="1" s="1"/>
  <c r="F232" i="1" a="1"/>
  <c r="F232" i="1" s="1"/>
  <c r="G232" i="1" a="1"/>
  <c r="G232" i="1" s="1"/>
  <c r="F233" i="1" a="1"/>
  <c r="F233" i="1" s="1"/>
  <c r="G233" i="1" a="1"/>
  <c r="G233" i="1" s="1"/>
  <c r="F234" i="1" a="1"/>
  <c r="F234" i="1" s="1"/>
  <c r="G234" i="1" a="1"/>
  <c r="G234" i="1" s="1"/>
  <c r="F235" i="1" a="1"/>
  <c r="F235" i="1" s="1"/>
  <c r="G235" i="1" a="1"/>
  <c r="G235" i="1" s="1"/>
  <c r="F236" i="1" a="1"/>
  <c r="F236" i="1" s="1"/>
  <c r="G236" i="1" a="1"/>
  <c r="G236" i="1" s="1"/>
  <c r="F237" i="1" a="1"/>
  <c r="F237" i="1" s="1"/>
  <c r="G237" i="1" a="1"/>
  <c r="G237" i="1" s="1"/>
  <c r="F238" i="1" a="1"/>
  <c r="F238" i="1" s="1"/>
  <c r="G238" i="1" a="1"/>
  <c r="G238" i="1" s="1"/>
  <c r="F239" i="1" a="1"/>
  <c r="F239" i="1" s="1"/>
  <c r="G239" i="1" a="1"/>
  <c r="G239" i="1" s="1"/>
  <c r="F240" i="1" a="1"/>
  <c r="F240" i="1" s="1"/>
  <c r="G240" i="1" a="1"/>
  <c r="G240" i="1" s="1"/>
  <c r="F241" i="1" a="1"/>
  <c r="F241" i="1"/>
  <c r="G241" i="1" a="1"/>
  <c r="G241" i="1" s="1"/>
  <c r="F242" i="1" a="1"/>
  <c r="F242" i="1" s="1"/>
  <c r="G242" i="1" a="1"/>
  <c r="G242" i="1"/>
  <c r="F243" i="1" a="1"/>
  <c r="F243" i="1" s="1"/>
  <c r="G243" i="1" a="1"/>
  <c r="G243" i="1" s="1"/>
  <c r="F244" i="1" a="1"/>
  <c r="F244" i="1" s="1"/>
  <c r="G244" i="1" a="1"/>
  <c r="G244" i="1" s="1"/>
  <c r="F245" i="1" a="1"/>
  <c r="F245" i="1" s="1"/>
  <c r="G245" i="1" a="1"/>
  <c r="G245" i="1" s="1"/>
  <c r="F246" i="1" a="1"/>
  <c r="F246" i="1" s="1"/>
  <c r="G246" i="1" a="1"/>
  <c r="G246" i="1" s="1"/>
  <c r="F247" i="1" a="1"/>
  <c r="F247" i="1" s="1"/>
  <c r="G247" i="1" a="1"/>
  <c r="G247" i="1" s="1"/>
  <c r="F248" i="1" a="1"/>
  <c r="F248" i="1" s="1"/>
  <c r="G248" i="1" a="1"/>
  <c r="G248" i="1" s="1"/>
  <c r="F249" i="1" a="1"/>
  <c r="F249" i="1" s="1"/>
  <c r="G249" i="1" a="1"/>
  <c r="G249" i="1" s="1"/>
  <c r="F250" i="1" a="1"/>
  <c r="F250" i="1" s="1"/>
  <c r="G250" i="1" a="1"/>
  <c r="G250" i="1" s="1"/>
  <c r="F251" i="1" a="1"/>
  <c r="F251" i="1" s="1"/>
  <c r="G251" i="1" a="1"/>
  <c r="G251" i="1" s="1"/>
  <c r="F252" i="1" a="1"/>
  <c r="F252" i="1" s="1"/>
  <c r="G252" i="1" a="1"/>
  <c r="G252" i="1" s="1"/>
  <c r="F253" i="1" a="1"/>
  <c r="F253" i="1" s="1"/>
  <c r="G253" i="1" a="1"/>
  <c r="G253" i="1" s="1"/>
  <c r="F254" i="1" a="1"/>
  <c r="F254" i="1" s="1"/>
  <c r="G254" i="1" a="1"/>
  <c r="G254" i="1"/>
  <c r="F255" i="1" a="1"/>
  <c r="F255" i="1" s="1"/>
  <c r="G255" i="1" a="1"/>
  <c r="G255" i="1" s="1"/>
  <c r="F256" i="1" a="1"/>
  <c r="F256" i="1" s="1"/>
  <c r="G256" i="1" a="1"/>
  <c r="G256" i="1" s="1"/>
  <c r="F257" i="1" a="1"/>
  <c r="F257" i="1" s="1"/>
  <c r="G257" i="1" a="1"/>
  <c r="G257" i="1" s="1"/>
  <c r="F258" i="1" a="1"/>
  <c r="F258" i="1" s="1"/>
  <c r="G258" i="1" a="1"/>
  <c r="G258" i="1" s="1"/>
  <c r="F259" i="1" a="1"/>
  <c r="F259" i="1" s="1"/>
  <c r="G259" i="1" a="1"/>
  <c r="G259" i="1"/>
  <c r="F260" i="1" a="1"/>
  <c r="F260" i="1" s="1"/>
  <c r="G260" i="1" a="1"/>
  <c r="G260" i="1" s="1"/>
  <c r="F261" i="1" a="1"/>
  <c r="F261" i="1" s="1"/>
  <c r="G261" i="1" a="1"/>
  <c r="G261" i="1"/>
  <c r="F262" i="1" a="1"/>
  <c r="F262" i="1"/>
  <c r="G262" i="1" a="1"/>
  <c r="G262" i="1"/>
  <c r="F263" i="1" a="1"/>
  <c r="F263" i="1" s="1"/>
  <c r="G263" i="1" a="1"/>
  <c r="G263" i="1" s="1"/>
  <c r="F264" i="1" a="1"/>
  <c r="F264" i="1"/>
  <c r="G264" i="1" a="1"/>
  <c r="G264" i="1" s="1"/>
  <c r="F265" i="1" a="1"/>
  <c r="F265" i="1" s="1"/>
  <c r="G265" i="1" a="1"/>
  <c r="G265" i="1" s="1"/>
  <c r="F266" i="1" a="1"/>
  <c r="F266" i="1"/>
  <c r="G266" i="1" a="1"/>
  <c r="G266" i="1" s="1"/>
  <c r="F267" i="1" a="1"/>
  <c r="F267" i="1"/>
  <c r="G267" i="1" a="1"/>
  <c r="G267" i="1" s="1"/>
  <c r="F268" i="1" a="1"/>
  <c r="F268" i="1"/>
  <c r="G268" i="1" a="1"/>
  <c r="G268" i="1"/>
  <c r="F269" i="1" a="1"/>
  <c r="F269" i="1"/>
  <c r="G269" i="1" a="1"/>
  <c r="G269" i="1" s="1"/>
  <c r="F270" i="1" a="1"/>
  <c r="F270" i="1" s="1"/>
  <c r="G270" i="1" a="1"/>
  <c r="G270" i="1"/>
  <c r="F271" i="1" a="1"/>
  <c r="F271" i="1" s="1"/>
  <c r="G271" i="1" a="1"/>
  <c r="G271" i="1" s="1"/>
  <c r="F272" i="1" a="1"/>
  <c r="F272" i="1" s="1"/>
  <c r="G272" i="1" a="1"/>
  <c r="G272" i="1" s="1"/>
  <c r="F273" i="1" a="1"/>
  <c r="F273" i="1" s="1"/>
  <c r="G273" i="1" a="1"/>
  <c r="G273" i="1"/>
  <c r="F274" i="1" a="1"/>
  <c r="F274" i="1" s="1"/>
  <c r="G274" i="1" a="1"/>
  <c r="G274" i="1"/>
  <c r="F275" i="1" a="1"/>
  <c r="F275" i="1"/>
  <c r="G275" i="1" a="1"/>
  <c r="G275" i="1" s="1"/>
  <c r="F276" i="1" a="1"/>
  <c r="F276" i="1"/>
  <c r="G276" i="1" a="1"/>
  <c r="G276" i="1" s="1"/>
  <c r="F277" i="1" a="1"/>
  <c r="F277" i="1"/>
  <c r="G277" i="1" a="1"/>
  <c r="G277" i="1" s="1"/>
  <c r="F278" i="1" a="1"/>
  <c r="F278" i="1" s="1"/>
  <c r="G278" i="1" a="1"/>
  <c r="G278" i="1" s="1"/>
  <c r="F279" i="1" a="1"/>
  <c r="F279" i="1"/>
  <c r="G279" i="1" a="1"/>
  <c r="G279" i="1" s="1"/>
  <c r="F280" i="1" a="1"/>
  <c r="F280" i="1"/>
  <c r="G280" i="1" a="1"/>
  <c r="G280" i="1" s="1"/>
  <c r="F281" i="1" a="1"/>
  <c r="F281" i="1"/>
  <c r="G281" i="1" a="1"/>
  <c r="G281" i="1" s="1"/>
  <c r="F282" i="1" a="1"/>
  <c r="F282" i="1" s="1"/>
  <c r="G282" i="1" a="1"/>
  <c r="G282" i="1"/>
  <c r="F283" i="1" a="1"/>
  <c r="F283" i="1" s="1"/>
  <c r="G283" i="1" a="1"/>
  <c r="G283" i="1"/>
  <c r="F284" i="1" a="1"/>
  <c r="F284" i="1" s="1"/>
  <c r="G284" i="1" a="1"/>
  <c r="G284" i="1" s="1"/>
  <c r="F285" i="1" a="1"/>
  <c r="F285" i="1"/>
  <c r="G285" i="1" a="1"/>
  <c r="G285" i="1"/>
  <c r="F286" i="1" a="1"/>
  <c r="F286" i="1" s="1"/>
  <c r="G286" i="1" a="1"/>
  <c r="G286" i="1"/>
  <c r="F287" i="1" a="1"/>
  <c r="F287" i="1" s="1"/>
  <c r="G287" i="1" a="1"/>
  <c r="G287" i="1" s="1"/>
  <c r="F288" i="1" a="1"/>
  <c r="F288" i="1" s="1"/>
  <c r="G288" i="1" a="1"/>
  <c r="G288" i="1" s="1"/>
  <c r="F289" i="1" a="1"/>
  <c r="F289" i="1"/>
  <c r="G289" i="1" a="1"/>
  <c r="G289" i="1" s="1"/>
  <c r="F290" i="1" a="1"/>
  <c r="F290" i="1"/>
  <c r="G290" i="1" a="1"/>
  <c r="G290" i="1" s="1"/>
  <c r="F291" i="1" a="1"/>
  <c r="F291" i="1"/>
  <c r="G291" i="1" a="1"/>
  <c r="G291" i="1"/>
  <c r="F292" i="1" a="1"/>
  <c r="F292" i="1"/>
  <c r="G292" i="1" a="1"/>
  <c r="G292" i="1" s="1"/>
  <c r="F293" i="1" a="1"/>
  <c r="F293" i="1"/>
  <c r="G293" i="1" a="1"/>
  <c r="G293" i="1" s="1"/>
  <c r="F294" i="1" a="1"/>
  <c r="F294" i="1" s="1"/>
  <c r="G294" i="1" a="1"/>
  <c r="G294" i="1" s="1"/>
  <c r="F295" i="1" a="1"/>
  <c r="F295" i="1" s="1"/>
  <c r="G295" i="1" a="1"/>
  <c r="G295" i="1"/>
  <c r="F296" i="1" a="1"/>
  <c r="F296" i="1" s="1"/>
  <c r="G296" i="1" a="1"/>
  <c r="G296" i="1" s="1"/>
  <c r="F297" i="1" a="1"/>
  <c r="F297" i="1" s="1"/>
  <c r="G297" i="1" a="1"/>
  <c r="G297" i="1"/>
  <c r="F298" i="1" a="1"/>
  <c r="F298" i="1"/>
  <c r="G298" i="1" a="1"/>
  <c r="G298" i="1"/>
  <c r="F299" i="1" a="1"/>
  <c r="F299" i="1" s="1"/>
  <c r="G299" i="1" a="1"/>
  <c r="G299" i="1" s="1"/>
  <c r="F300" i="1" a="1"/>
  <c r="F300" i="1"/>
  <c r="G300" i="1" a="1"/>
  <c r="G300" i="1" s="1"/>
  <c r="F301" i="1" a="1"/>
  <c r="F301" i="1" s="1"/>
  <c r="G301" i="1" a="1"/>
  <c r="G301" i="1" s="1"/>
  <c r="F302" i="1" a="1"/>
  <c r="F302" i="1"/>
  <c r="G302" i="1" a="1"/>
  <c r="G302" i="1" s="1"/>
  <c r="F303" i="1" a="1"/>
  <c r="F303" i="1"/>
  <c r="G303" i="1" a="1"/>
  <c r="G303" i="1" s="1"/>
  <c r="F304" i="1" a="1"/>
  <c r="F304" i="1"/>
  <c r="G304" i="1" a="1"/>
  <c r="G304" i="1"/>
  <c r="F305" i="1" a="1"/>
  <c r="F305" i="1"/>
  <c r="G305" i="1" a="1"/>
  <c r="G305" i="1" s="1"/>
  <c r="F306" i="1" a="1"/>
  <c r="F306" i="1" s="1"/>
  <c r="G306" i="1" a="1"/>
  <c r="G306" i="1"/>
  <c r="F307" i="1" a="1"/>
  <c r="F307" i="1" s="1"/>
  <c r="G307" i="1" a="1"/>
  <c r="G307" i="1" s="1"/>
  <c r="F308" i="1" a="1"/>
  <c r="F308" i="1" s="1"/>
  <c r="G308" i="1" a="1"/>
  <c r="G308" i="1" s="1"/>
  <c r="F309" i="1" a="1"/>
  <c r="F309" i="1" s="1"/>
  <c r="G309" i="1" a="1"/>
  <c r="G309" i="1"/>
  <c r="F310" i="1" a="1"/>
  <c r="F310" i="1" s="1"/>
  <c r="G310" i="1" a="1"/>
  <c r="G310" i="1"/>
  <c r="F311" i="1" a="1"/>
  <c r="F311" i="1"/>
  <c r="G311" i="1" a="1"/>
  <c r="G311" i="1" s="1"/>
  <c r="F312" i="1" a="1"/>
  <c r="F312" i="1"/>
  <c r="G312" i="1" a="1"/>
  <c r="G312" i="1" s="1"/>
  <c r="F313" i="1" a="1"/>
  <c r="F313" i="1"/>
  <c r="G313" i="1" a="1"/>
  <c r="G313" i="1" s="1"/>
  <c r="F314" i="1" a="1"/>
  <c r="F314" i="1" s="1"/>
  <c r="G314" i="1" a="1"/>
  <c r="G314" i="1" s="1"/>
  <c r="F315" i="1" a="1"/>
  <c r="F315" i="1"/>
  <c r="G315" i="1" a="1"/>
  <c r="G315" i="1" s="1"/>
  <c r="F316" i="1" a="1"/>
  <c r="F316" i="1"/>
  <c r="G316" i="1" a="1"/>
  <c r="G316" i="1" s="1"/>
  <c r="F317" i="1" a="1"/>
  <c r="F317" i="1"/>
  <c r="G317" i="1" a="1"/>
  <c r="G317" i="1" s="1"/>
  <c r="F318" i="1" a="1"/>
  <c r="F318" i="1" s="1"/>
  <c r="G318" i="1" a="1"/>
  <c r="G318" i="1"/>
  <c r="F319" i="1" a="1"/>
  <c r="F319" i="1" s="1"/>
  <c r="G319" i="1" a="1"/>
  <c r="G319" i="1"/>
  <c r="F320" i="1" a="1"/>
  <c r="F320" i="1" s="1"/>
  <c r="G320" i="1" a="1"/>
  <c r="G320" i="1" s="1"/>
  <c r="F321" i="1" a="1"/>
  <c r="F321" i="1"/>
  <c r="G321" i="1" a="1"/>
  <c r="G321" i="1"/>
  <c r="F322" i="1" a="1"/>
  <c r="F322" i="1" s="1"/>
  <c r="G322" i="1" a="1"/>
  <c r="G322" i="1"/>
  <c r="F323" i="1" a="1"/>
  <c r="F323" i="1" s="1"/>
  <c r="G323" i="1" a="1"/>
  <c r="G323" i="1" s="1"/>
  <c r="F324" i="1" a="1"/>
  <c r="F324" i="1" s="1"/>
  <c r="G324" i="1" a="1"/>
  <c r="G324" i="1" s="1"/>
  <c r="F325" i="1" a="1"/>
  <c r="F325" i="1"/>
  <c r="G325" i="1" a="1"/>
  <c r="G325" i="1" s="1"/>
  <c r="F326" i="1" a="1"/>
  <c r="F326" i="1"/>
  <c r="G326" i="1" a="1"/>
  <c r="G326" i="1" s="1"/>
  <c r="F327" i="1" a="1"/>
  <c r="F327" i="1"/>
  <c r="G327" i="1" a="1"/>
  <c r="G327" i="1"/>
  <c r="F328" i="1" a="1"/>
  <c r="F328" i="1"/>
  <c r="G328" i="1" a="1"/>
  <c r="G328" i="1" s="1"/>
  <c r="F329" i="1" a="1"/>
  <c r="F329" i="1"/>
  <c r="G329" i="1" a="1"/>
  <c r="G329" i="1" s="1"/>
  <c r="F330" i="1" a="1"/>
  <c r="F330" i="1" s="1"/>
  <c r="G330" i="1" a="1"/>
  <c r="G330" i="1" s="1"/>
  <c r="F331" i="1" a="1"/>
  <c r="F331" i="1" s="1"/>
  <c r="G331" i="1" a="1"/>
  <c r="G331" i="1"/>
  <c r="F332" i="1" a="1"/>
  <c r="F332" i="1" s="1"/>
  <c r="G332" i="1" a="1"/>
  <c r="G332" i="1" s="1"/>
  <c r="F333" i="1" a="1"/>
  <c r="F333" i="1" s="1"/>
  <c r="G333" i="1" a="1"/>
  <c r="G333" i="1"/>
  <c r="F334" i="1" a="1"/>
  <c r="F334" i="1"/>
  <c r="G334" i="1" a="1"/>
  <c r="G334" i="1"/>
  <c r="F335" i="1" a="1"/>
  <c r="F335" i="1" s="1"/>
  <c r="G335" i="1" a="1"/>
  <c r="G335" i="1" s="1"/>
  <c r="F336" i="1" a="1"/>
  <c r="F336" i="1"/>
  <c r="G336" i="1" a="1"/>
  <c r="G336" i="1" s="1"/>
  <c r="F337" i="1" a="1"/>
  <c r="F337" i="1" s="1"/>
  <c r="G337" i="1" a="1"/>
  <c r="G337" i="1" s="1"/>
  <c r="F338" i="1" a="1"/>
  <c r="F338" i="1"/>
  <c r="G338" i="1" a="1"/>
  <c r="G338" i="1" s="1"/>
  <c r="F339" i="1" a="1"/>
  <c r="F339" i="1"/>
  <c r="G339" i="1" a="1"/>
  <c r="G339" i="1" s="1"/>
  <c r="F340" i="1" a="1"/>
  <c r="F340" i="1"/>
  <c r="G340" i="1" a="1"/>
  <c r="G340" i="1"/>
  <c r="F341" i="1" a="1"/>
  <c r="F341" i="1"/>
  <c r="G341" i="1" a="1"/>
  <c r="G341" i="1" s="1"/>
  <c r="F342" i="1" a="1"/>
  <c r="F342" i="1" s="1"/>
  <c r="G342" i="1" a="1"/>
  <c r="G342" i="1"/>
  <c r="F343" i="1" a="1"/>
  <c r="F343" i="1" s="1"/>
  <c r="G343" i="1" a="1"/>
  <c r="G343" i="1" s="1"/>
  <c r="F344" i="1" a="1"/>
  <c r="F344" i="1" s="1"/>
  <c r="G344" i="1" a="1"/>
  <c r="G344" i="1" s="1"/>
  <c r="F345" i="1" a="1"/>
  <c r="F345" i="1" s="1"/>
  <c r="G345" i="1" a="1"/>
  <c r="G345" i="1"/>
  <c r="F346" i="1" a="1"/>
  <c r="F346" i="1" s="1"/>
  <c r="G346" i="1" a="1"/>
  <c r="G346" i="1"/>
  <c r="F347" i="1" a="1"/>
  <c r="F347" i="1"/>
  <c r="G347" i="1" a="1"/>
  <c r="G347" i="1" s="1"/>
  <c r="F348" i="1" a="1"/>
  <c r="F348" i="1"/>
  <c r="G348" i="1" a="1"/>
  <c r="G348" i="1" s="1"/>
  <c r="F349" i="1" a="1"/>
  <c r="F349" i="1"/>
  <c r="G349" i="1" a="1"/>
  <c r="G349" i="1" s="1"/>
  <c r="F350" i="1" a="1"/>
  <c r="F350" i="1" s="1"/>
  <c r="G350" i="1" a="1"/>
  <c r="G350" i="1" s="1"/>
  <c r="F351" i="1" a="1"/>
  <c r="F351" i="1"/>
  <c r="G351" i="1" a="1"/>
  <c r="G351" i="1" s="1"/>
  <c r="F352" i="1" a="1"/>
  <c r="F352" i="1"/>
  <c r="G352" i="1" a="1"/>
  <c r="G352" i="1" s="1"/>
  <c r="F353" i="1" a="1"/>
  <c r="F353" i="1"/>
  <c r="G353" i="1" a="1"/>
  <c r="G353" i="1" s="1"/>
  <c r="F354" i="1" a="1"/>
  <c r="F354" i="1" s="1"/>
  <c r="G354" i="1" a="1"/>
  <c r="G354" i="1"/>
  <c r="F355" i="1" a="1"/>
  <c r="F355" i="1" s="1"/>
  <c r="G355" i="1" a="1"/>
  <c r="G355" i="1"/>
  <c r="F356" i="1" a="1"/>
  <c r="F356" i="1" s="1"/>
  <c r="G356" i="1" a="1"/>
  <c r="G356" i="1" s="1"/>
  <c r="F357" i="1" a="1"/>
  <c r="F357" i="1"/>
  <c r="G357" i="1" a="1"/>
  <c r="G357" i="1"/>
  <c r="F358" i="1" a="1"/>
  <c r="F358" i="1" s="1"/>
  <c r="G358" i="1" a="1"/>
  <c r="G358" i="1"/>
  <c r="F359" i="1" a="1"/>
  <c r="F359" i="1" s="1"/>
  <c r="G359" i="1" a="1"/>
  <c r="G359" i="1" s="1"/>
  <c r="F360" i="1" a="1"/>
  <c r="F360" i="1" s="1"/>
  <c r="G360" i="1" a="1"/>
  <c r="G360" i="1" s="1"/>
  <c r="F361" i="1" a="1"/>
  <c r="F361" i="1"/>
  <c r="G361" i="1" a="1"/>
  <c r="G361" i="1" s="1"/>
  <c r="F362" i="1" a="1"/>
  <c r="F362" i="1"/>
  <c r="G362" i="1" a="1"/>
  <c r="G362" i="1" s="1"/>
  <c r="F363" i="1" a="1"/>
  <c r="F363" i="1"/>
  <c r="G363" i="1" a="1"/>
  <c r="G363" i="1"/>
  <c r="F364" i="1" a="1"/>
  <c r="F364" i="1"/>
  <c r="G364" i="1" a="1"/>
  <c r="G364" i="1" s="1"/>
  <c r="F365" i="1" a="1"/>
  <c r="F365" i="1"/>
  <c r="G365" i="1" a="1"/>
  <c r="G365" i="1" s="1"/>
  <c r="F366" i="1" a="1"/>
  <c r="F366" i="1" s="1"/>
  <c r="G366" i="1" a="1"/>
  <c r="G366" i="1" s="1"/>
  <c r="F367" i="1" a="1"/>
  <c r="F367" i="1" s="1"/>
  <c r="G367" i="1" a="1"/>
  <c r="G367" i="1"/>
  <c r="F368" i="1" a="1"/>
  <c r="F368" i="1" s="1"/>
  <c r="G368" i="1" a="1"/>
  <c r="G368" i="1" s="1"/>
  <c r="F369" i="1" a="1"/>
  <c r="F369" i="1" s="1"/>
  <c r="G369" i="1" a="1"/>
  <c r="G369" i="1"/>
  <c r="F370" i="1" a="1"/>
  <c r="F370" i="1"/>
  <c r="G370" i="1" a="1"/>
  <c r="G370" i="1"/>
  <c r="F371" i="1" a="1"/>
  <c r="F371" i="1" s="1"/>
  <c r="G371" i="1" a="1"/>
  <c r="G371" i="1" s="1"/>
  <c r="F372" i="1" a="1"/>
  <c r="F372" i="1"/>
  <c r="G372" i="1" a="1"/>
  <c r="G372" i="1" s="1"/>
  <c r="F373" i="1" a="1"/>
  <c r="F373" i="1" s="1"/>
  <c r="G373" i="1" a="1"/>
  <c r="G373" i="1" s="1"/>
  <c r="F374" i="1" a="1"/>
  <c r="F374" i="1"/>
  <c r="G374" i="1" a="1"/>
  <c r="G374" i="1" s="1"/>
  <c r="F375" i="1" a="1"/>
  <c r="F375" i="1"/>
  <c r="G375" i="1" a="1"/>
  <c r="G375" i="1" s="1"/>
  <c r="F376" i="1" a="1"/>
  <c r="F376" i="1"/>
  <c r="G376" i="1" a="1"/>
  <c r="G376" i="1"/>
  <c r="F377" i="1" a="1"/>
  <c r="F377" i="1"/>
  <c r="G377" i="1" a="1"/>
  <c r="G377" i="1" s="1"/>
  <c r="F378" i="1" a="1"/>
  <c r="F378" i="1" s="1"/>
  <c r="G378" i="1" a="1"/>
  <c r="G378" i="1"/>
  <c r="F379" i="1" a="1"/>
  <c r="F379" i="1" s="1"/>
  <c r="G379" i="1" a="1"/>
  <c r="G379" i="1" s="1"/>
  <c r="F380" i="1" a="1"/>
  <c r="F380" i="1" s="1"/>
  <c r="G380" i="1" a="1"/>
  <c r="G380" i="1" s="1"/>
  <c r="F381" i="1" a="1"/>
  <c r="F381" i="1" s="1"/>
  <c r="G381" i="1" a="1"/>
  <c r="G381" i="1"/>
  <c r="F382" i="1" a="1"/>
  <c r="F382" i="1"/>
  <c r="G382" i="1" a="1"/>
  <c r="G382" i="1"/>
  <c r="F383" i="1" a="1"/>
  <c r="F383" i="1"/>
  <c r="G383" i="1" a="1"/>
  <c r="G383" i="1" s="1"/>
  <c r="F384" i="1" a="1"/>
  <c r="F384" i="1"/>
  <c r="G384" i="1" a="1"/>
  <c r="G384" i="1" s="1"/>
  <c r="F385" i="1" a="1"/>
  <c r="F385" i="1"/>
  <c r="G385" i="1" a="1"/>
  <c r="G385" i="1" s="1"/>
  <c r="F386" i="1" a="1"/>
  <c r="F386" i="1" s="1"/>
  <c r="G386" i="1" a="1"/>
  <c r="G386" i="1" s="1"/>
  <c r="F387" i="1" a="1"/>
  <c r="F387" i="1"/>
  <c r="G387" i="1" a="1"/>
  <c r="G387" i="1" s="1"/>
  <c r="F388" i="1" a="1"/>
  <c r="F388" i="1"/>
  <c r="G388" i="1" a="1"/>
  <c r="G388" i="1"/>
  <c r="F389" i="1" a="1"/>
  <c r="F389" i="1"/>
  <c r="G389" i="1" a="1"/>
  <c r="G389" i="1" s="1"/>
  <c r="F390" i="1" a="1"/>
  <c r="F390" i="1" s="1"/>
  <c r="G390" i="1" a="1"/>
  <c r="G390" i="1"/>
  <c r="F391" i="1" a="1"/>
  <c r="F391" i="1" s="1"/>
  <c r="G391" i="1" a="1"/>
  <c r="G391" i="1"/>
  <c r="F392" i="1" a="1"/>
  <c r="F392" i="1" s="1"/>
  <c r="G392" i="1" a="1"/>
  <c r="G392" i="1" s="1"/>
  <c r="F393" i="1" a="1"/>
  <c r="F393" i="1"/>
  <c r="G393" i="1" a="1"/>
  <c r="G393" i="1"/>
  <c r="F394" i="1" a="1"/>
  <c r="F394" i="1" s="1"/>
  <c r="G394" i="1" a="1"/>
  <c r="G394" i="1"/>
  <c r="F395" i="1" a="1"/>
  <c r="F395" i="1"/>
  <c r="G395" i="1" a="1"/>
  <c r="G395" i="1" s="1"/>
  <c r="F396" i="1" a="1"/>
  <c r="F396" i="1" s="1"/>
  <c r="G396" i="1" a="1"/>
  <c r="G396" i="1" s="1"/>
  <c r="F397" i="1" a="1"/>
  <c r="F397" i="1"/>
  <c r="G397" i="1" a="1"/>
  <c r="G397" i="1" s="1"/>
  <c r="F398" i="1" a="1"/>
  <c r="F398" i="1"/>
  <c r="G398" i="1" a="1"/>
  <c r="G398" i="1" s="1"/>
  <c r="F399" i="1" a="1"/>
  <c r="F399" i="1" s="1"/>
  <c r="G399" i="1" a="1"/>
  <c r="G399" i="1" s="1"/>
  <c r="F400" i="1" a="1"/>
  <c r="F400" i="1"/>
  <c r="G400" i="1" a="1"/>
  <c r="G400" i="1" s="1"/>
  <c r="F401" i="1" a="1"/>
  <c r="F401" i="1" s="1"/>
  <c r="G401" i="1" a="1"/>
  <c r="G401" i="1" s="1"/>
  <c r="F402" i="1" a="1"/>
  <c r="F402" i="1" s="1"/>
  <c r="G402" i="1" a="1"/>
  <c r="G402" i="1" s="1"/>
  <c r="F403" i="1" a="1"/>
  <c r="F403" i="1"/>
  <c r="G403" i="1" a="1"/>
  <c r="G403" i="1" s="1"/>
  <c r="F404" i="1" a="1"/>
  <c r="F404" i="1" s="1"/>
  <c r="G404" i="1" a="1"/>
  <c r="G404" i="1" s="1"/>
  <c r="F405" i="1" a="1"/>
  <c r="F405" i="1" s="1"/>
  <c r="G405" i="1" a="1"/>
  <c r="G405" i="1" s="1"/>
  <c r="F406" i="1" a="1"/>
  <c r="F406" i="1" s="1"/>
  <c r="G406" i="1" a="1"/>
  <c r="G406" i="1" s="1"/>
  <c r="F407" i="1" a="1"/>
  <c r="F407" i="1" s="1"/>
  <c r="G407" i="1" a="1"/>
  <c r="G407" i="1" s="1"/>
  <c r="F408" i="1" a="1"/>
  <c r="F408" i="1" s="1"/>
  <c r="G408" i="1" a="1"/>
  <c r="G408" i="1" s="1"/>
  <c r="F409" i="1" a="1"/>
  <c r="F409" i="1" s="1"/>
  <c r="G409" i="1" a="1"/>
  <c r="G409" i="1" s="1"/>
  <c r="F410" i="1" a="1"/>
  <c r="F410" i="1" s="1"/>
  <c r="G410" i="1" a="1"/>
  <c r="G410" i="1" s="1"/>
  <c r="F411" i="1" a="1"/>
  <c r="F411" i="1" s="1"/>
  <c r="G411" i="1" a="1"/>
  <c r="G411" i="1" s="1"/>
  <c r="F412" i="1" a="1"/>
  <c r="F412" i="1" s="1"/>
  <c r="G412" i="1" a="1"/>
  <c r="G412" i="1" s="1"/>
  <c r="F413" i="1" a="1"/>
  <c r="F413" i="1" s="1"/>
  <c r="G413" i="1" a="1"/>
  <c r="G413" i="1" s="1"/>
  <c r="F414" i="1" a="1"/>
  <c r="F414" i="1" s="1"/>
  <c r="G414" i="1" a="1"/>
  <c r="G414" i="1" s="1"/>
  <c r="F415" i="1" a="1"/>
  <c r="F415" i="1" s="1"/>
  <c r="G415" i="1" a="1"/>
  <c r="G415" i="1" s="1"/>
  <c r="F416" i="1" a="1"/>
  <c r="F416" i="1" s="1"/>
  <c r="G416" i="1" a="1"/>
  <c r="G416" i="1" s="1"/>
  <c r="F417" i="1" a="1"/>
  <c r="F417" i="1" s="1"/>
  <c r="G417" i="1" a="1"/>
  <c r="G417" i="1" s="1"/>
  <c r="F418" i="1" a="1"/>
  <c r="F418" i="1" s="1"/>
  <c r="G418" i="1" a="1"/>
  <c r="G418" i="1" s="1"/>
  <c r="F419" i="1" a="1"/>
  <c r="F419" i="1" s="1"/>
  <c r="G419" i="1" a="1"/>
  <c r="G419" i="1" s="1"/>
  <c r="F420" i="1" a="1"/>
  <c r="F420" i="1" s="1"/>
  <c r="G420" i="1" a="1"/>
  <c r="G420" i="1" s="1"/>
  <c r="F421" i="1" a="1"/>
  <c r="F421" i="1" s="1"/>
  <c r="G421" i="1" a="1"/>
  <c r="G421" i="1" s="1"/>
  <c r="F422" i="1" a="1"/>
  <c r="F422" i="1" s="1"/>
  <c r="G422" i="1" a="1"/>
  <c r="G422" i="1" s="1"/>
  <c r="F423" i="1" a="1"/>
  <c r="F423" i="1" s="1"/>
  <c r="G423" i="1" a="1"/>
  <c r="G423" i="1" s="1"/>
  <c r="F424" i="1" a="1"/>
  <c r="F424" i="1" s="1"/>
  <c r="G424" i="1" a="1"/>
  <c r="G424" i="1" s="1"/>
  <c r="F425" i="1" a="1"/>
  <c r="F425" i="1" s="1"/>
  <c r="G425" i="1" a="1"/>
  <c r="G425" i="1" s="1"/>
  <c r="F426" i="1" a="1"/>
  <c r="F426" i="1" s="1"/>
  <c r="G426" i="1" a="1"/>
  <c r="G426" i="1" s="1"/>
  <c r="F427" i="1" a="1"/>
  <c r="F427" i="1" s="1"/>
  <c r="G427" i="1" a="1"/>
  <c r="G427" i="1" s="1"/>
  <c r="F428" i="1" a="1"/>
  <c r="F428" i="1" s="1"/>
  <c r="G428" i="1" a="1"/>
  <c r="G428" i="1" s="1"/>
  <c r="F429" i="1" a="1"/>
  <c r="F429" i="1" s="1"/>
  <c r="G429" i="1" a="1"/>
  <c r="G429" i="1" s="1"/>
  <c r="F430" i="1" a="1"/>
  <c r="F430" i="1" s="1"/>
  <c r="G430" i="1" a="1"/>
  <c r="G430" i="1" s="1"/>
  <c r="F431" i="1" a="1"/>
  <c r="F431" i="1" s="1"/>
  <c r="G431" i="1" a="1"/>
  <c r="G431" i="1" s="1"/>
  <c r="F432" i="1" a="1"/>
  <c r="F432" i="1" s="1"/>
  <c r="G432" i="1" a="1"/>
  <c r="G432" i="1" s="1"/>
  <c r="F433" i="1" a="1"/>
  <c r="F433" i="1" s="1"/>
  <c r="G433" i="1" a="1"/>
  <c r="G433" i="1" s="1"/>
  <c r="F434" i="1" a="1"/>
  <c r="F434" i="1" s="1"/>
  <c r="G434" i="1" a="1"/>
  <c r="G434" i="1" s="1"/>
  <c r="F435" i="1" a="1"/>
  <c r="F435" i="1" s="1"/>
  <c r="G435" i="1" a="1"/>
  <c r="G435" i="1" s="1"/>
  <c r="F436" i="1" a="1"/>
  <c r="F436" i="1" s="1"/>
  <c r="G436" i="1" a="1"/>
  <c r="G436" i="1" s="1"/>
  <c r="F437" i="1" a="1"/>
  <c r="F437" i="1" s="1"/>
  <c r="G437" i="1" a="1"/>
  <c r="G437" i="1" s="1"/>
  <c r="F438" i="1" a="1"/>
  <c r="F438" i="1" s="1"/>
  <c r="G438" i="1" a="1"/>
  <c r="G438" i="1" s="1"/>
  <c r="F439" i="1" a="1"/>
  <c r="F439" i="1" s="1"/>
  <c r="G439" i="1" a="1"/>
  <c r="G439" i="1" s="1"/>
  <c r="F440" i="1" a="1"/>
  <c r="F440" i="1" s="1"/>
  <c r="G440" i="1" a="1"/>
  <c r="G440" i="1" s="1"/>
  <c r="F441" i="1" a="1"/>
  <c r="F441" i="1" s="1"/>
  <c r="G441" i="1" a="1"/>
  <c r="G441" i="1" s="1"/>
  <c r="F442" i="1" a="1"/>
  <c r="F442" i="1" s="1"/>
  <c r="G442" i="1" a="1"/>
  <c r="G442" i="1" s="1"/>
  <c r="F443" i="1" a="1"/>
  <c r="F443" i="1" s="1"/>
  <c r="G443" i="1" a="1"/>
  <c r="G443" i="1" s="1"/>
  <c r="F444" i="1" a="1"/>
  <c r="F444" i="1" s="1"/>
  <c r="G444" i="1" a="1"/>
  <c r="G444" i="1" s="1"/>
  <c r="F445" i="1" a="1"/>
  <c r="F445" i="1" s="1"/>
  <c r="G445" i="1" a="1"/>
  <c r="G445" i="1" s="1"/>
  <c r="F446" i="1" a="1"/>
  <c r="F446" i="1" s="1"/>
  <c r="G446" i="1" a="1"/>
  <c r="G446" i="1" s="1"/>
  <c r="F447" i="1" a="1"/>
  <c r="F447" i="1" s="1"/>
  <c r="G447" i="1" a="1"/>
  <c r="G447" i="1" s="1"/>
  <c r="F448" i="1" a="1"/>
  <c r="F448" i="1" s="1"/>
  <c r="G448" i="1" a="1"/>
  <c r="G448" i="1" s="1"/>
  <c r="F449" i="1" a="1"/>
  <c r="F449" i="1" s="1"/>
  <c r="G449" i="1" a="1"/>
  <c r="G449" i="1" s="1"/>
  <c r="F450" i="1" a="1"/>
  <c r="F450" i="1" s="1"/>
  <c r="G450" i="1" a="1"/>
  <c r="G450" i="1" s="1"/>
  <c r="F451" i="1" a="1"/>
  <c r="F451" i="1" s="1"/>
  <c r="G451" i="1" a="1"/>
  <c r="G451" i="1" s="1"/>
  <c r="F452" i="1" a="1"/>
  <c r="F452" i="1" s="1"/>
  <c r="G452" i="1" a="1"/>
  <c r="G452" i="1" s="1"/>
  <c r="F453" i="1" a="1"/>
  <c r="F453" i="1" s="1"/>
  <c r="G453" i="1" a="1"/>
  <c r="G453" i="1" s="1"/>
  <c r="F454" i="1" a="1"/>
  <c r="F454" i="1" s="1"/>
  <c r="G454" i="1" a="1"/>
  <c r="G454" i="1" s="1"/>
  <c r="F455" i="1" a="1"/>
  <c r="F455" i="1" s="1"/>
  <c r="G455" i="1" a="1"/>
  <c r="G455" i="1" s="1"/>
  <c r="F456" i="1" a="1"/>
  <c r="F456" i="1" s="1"/>
  <c r="G456" i="1" a="1"/>
  <c r="G456" i="1" s="1"/>
  <c r="F457" i="1" a="1"/>
  <c r="F457" i="1" s="1"/>
  <c r="G457" i="1" a="1"/>
  <c r="G457" i="1" s="1"/>
  <c r="F458" i="1" a="1"/>
  <c r="F458" i="1" s="1"/>
  <c r="G458" i="1" a="1"/>
  <c r="G458" i="1" s="1"/>
  <c r="F459" i="1" a="1"/>
  <c r="F459" i="1" s="1"/>
  <c r="G459" i="1" a="1"/>
  <c r="G459" i="1" s="1"/>
  <c r="F460" i="1" a="1"/>
  <c r="F460" i="1" s="1"/>
  <c r="G460" i="1" a="1"/>
  <c r="G460" i="1" s="1"/>
  <c r="F461" i="1" a="1"/>
  <c r="F461" i="1" s="1"/>
  <c r="G461" i="1" a="1"/>
  <c r="G461" i="1" s="1"/>
  <c r="F462" i="1" a="1"/>
  <c r="F462" i="1" s="1"/>
  <c r="G462" i="1" a="1"/>
  <c r="G462" i="1" s="1"/>
  <c r="F463" i="1" a="1"/>
  <c r="F463" i="1" s="1"/>
  <c r="G463" i="1" a="1"/>
  <c r="G463" i="1" s="1"/>
  <c r="F464" i="1" a="1"/>
  <c r="F464" i="1" s="1"/>
  <c r="G464" i="1" a="1"/>
  <c r="G464" i="1" s="1"/>
  <c r="F465" i="1" a="1"/>
  <c r="F465" i="1" s="1"/>
  <c r="G465" i="1" a="1"/>
  <c r="G465" i="1" s="1"/>
  <c r="F466" i="1" a="1"/>
  <c r="F466" i="1" s="1"/>
  <c r="G466" i="1" a="1"/>
  <c r="G466" i="1" s="1"/>
  <c r="F467" i="1" a="1"/>
  <c r="F467" i="1" s="1"/>
  <c r="G467" i="1" a="1"/>
  <c r="G467" i="1" s="1"/>
  <c r="F468" i="1" a="1"/>
  <c r="F468" i="1" s="1"/>
  <c r="G468" i="1" a="1"/>
  <c r="G468" i="1" s="1"/>
  <c r="F469" i="1" a="1"/>
  <c r="F469" i="1" s="1"/>
  <c r="G469" i="1" a="1"/>
  <c r="G469" i="1" s="1"/>
  <c r="F470" i="1" a="1"/>
  <c r="F470" i="1" s="1"/>
  <c r="G470" i="1" a="1"/>
  <c r="G470" i="1" s="1"/>
  <c r="F471" i="1" a="1"/>
  <c r="F471" i="1" s="1"/>
  <c r="G471" i="1" a="1"/>
  <c r="G471" i="1" s="1"/>
  <c r="F472" i="1" a="1"/>
  <c r="F472" i="1" s="1"/>
  <c r="G472" i="1" a="1"/>
  <c r="G472" i="1" s="1"/>
  <c r="F473" i="1" a="1"/>
  <c r="F473" i="1" s="1"/>
  <c r="G473" i="1" a="1"/>
  <c r="G473" i="1" s="1"/>
  <c r="F474" i="1" a="1"/>
  <c r="F474" i="1" s="1"/>
  <c r="G474" i="1" a="1"/>
  <c r="G474" i="1" s="1"/>
  <c r="F475" i="1" a="1"/>
  <c r="F475" i="1" s="1"/>
  <c r="G475" i="1" a="1"/>
  <c r="G475" i="1" s="1"/>
  <c r="F476" i="1" a="1"/>
  <c r="F476" i="1" s="1"/>
  <c r="G476" i="1" a="1"/>
  <c r="G476" i="1" s="1"/>
  <c r="F477" i="1" a="1"/>
  <c r="F477" i="1" s="1"/>
  <c r="G477" i="1" a="1"/>
  <c r="G477" i="1" s="1"/>
  <c r="F478" i="1" a="1"/>
  <c r="F478" i="1" s="1"/>
  <c r="G478" i="1" a="1"/>
  <c r="G478" i="1" s="1"/>
  <c r="F479" i="1" a="1"/>
  <c r="F479" i="1" s="1"/>
  <c r="G479" i="1" a="1"/>
  <c r="G479" i="1" s="1"/>
  <c r="F480" i="1" a="1"/>
  <c r="F480" i="1" s="1"/>
  <c r="G480" i="1" a="1"/>
  <c r="G480" i="1" s="1"/>
  <c r="F481" i="1" a="1"/>
  <c r="F481" i="1" s="1"/>
  <c r="G481" i="1" a="1"/>
  <c r="G481" i="1" s="1"/>
  <c r="F482" i="1" a="1"/>
  <c r="F482" i="1" s="1"/>
  <c r="G482" i="1" a="1"/>
  <c r="G482" i="1" s="1"/>
  <c r="F483" i="1" a="1"/>
  <c r="F483" i="1" s="1"/>
  <c r="G483" i="1" a="1"/>
  <c r="G483" i="1" s="1"/>
  <c r="F484" i="1" a="1"/>
  <c r="F484" i="1" s="1"/>
  <c r="G484" i="1" a="1"/>
  <c r="G484" i="1" s="1"/>
  <c r="F485" i="1" a="1"/>
  <c r="F485" i="1" s="1"/>
  <c r="G485" i="1" a="1"/>
  <c r="G485" i="1" s="1"/>
  <c r="F486" i="1" a="1"/>
  <c r="F486" i="1" s="1"/>
  <c r="G486" i="1" a="1"/>
  <c r="G486" i="1" s="1"/>
  <c r="F487" i="1" a="1"/>
  <c r="F487" i="1" s="1"/>
  <c r="G487" i="1" a="1"/>
  <c r="G487" i="1" s="1"/>
  <c r="F488" i="1" a="1"/>
  <c r="F488" i="1" s="1"/>
  <c r="G488" i="1" a="1"/>
  <c r="G488" i="1" s="1"/>
  <c r="F489" i="1" a="1"/>
  <c r="F489" i="1" s="1"/>
  <c r="G489" i="1" a="1"/>
  <c r="G489" i="1" s="1"/>
  <c r="F490" i="1" a="1"/>
  <c r="F490" i="1" s="1"/>
  <c r="G490" i="1" a="1"/>
  <c r="G490" i="1" s="1"/>
  <c r="F491" i="1" a="1"/>
  <c r="F491" i="1" s="1"/>
  <c r="G491" i="1" a="1"/>
  <c r="G491" i="1" s="1"/>
  <c r="F492" i="1" a="1"/>
  <c r="F492" i="1" s="1"/>
  <c r="G492" i="1" a="1"/>
  <c r="G492" i="1" s="1"/>
  <c r="F493" i="1" a="1"/>
  <c r="F493" i="1" s="1"/>
  <c r="G493" i="1" a="1"/>
  <c r="G493" i="1" s="1"/>
  <c r="F494" i="1" a="1"/>
  <c r="F494" i="1" s="1"/>
  <c r="G494" i="1" a="1"/>
  <c r="G494" i="1" s="1"/>
  <c r="F495" i="1" a="1"/>
  <c r="F495" i="1" s="1"/>
  <c r="G495" i="1" a="1"/>
  <c r="G495" i="1" s="1"/>
  <c r="F496" i="1" a="1"/>
  <c r="F496" i="1" s="1"/>
  <c r="G496" i="1" a="1"/>
  <c r="G496" i="1" s="1"/>
  <c r="F497" i="1" a="1"/>
  <c r="F497" i="1" s="1"/>
  <c r="G497" i="1" a="1"/>
  <c r="G497" i="1" s="1"/>
  <c r="F498" i="1" a="1"/>
  <c r="F498" i="1" s="1"/>
  <c r="G498" i="1" a="1"/>
  <c r="G498" i="1" s="1"/>
  <c r="F499" i="1" a="1"/>
  <c r="F499" i="1" s="1"/>
  <c r="G499" i="1" a="1"/>
  <c r="G499" i="1" s="1"/>
  <c r="F500" i="1" a="1"/>
  <c r="F500" i="1" s="1"/>
  <c r="G500" i="1" a="1"/>
  <c r="G500" i="1" s="1"/>
  <c r="F501" i="1" a="1"/>
  <c r="F501" i="1" s="1"/>
  <c r="G501" i="1" a="1"/>
  <c r="G501" i="1" s="1"/>
  <c r="F502" i="1" a="1"/>
  <c r="F502" i="1" s="1"/>
  <c r="G502" i="1" a="1"/>
  <c r="G502" i="1" s="1"/>
  <c r="F503" i="1" a="1"/>
  <c r="F503" i="1" s="1"/>
  <c r="G503" i="1" a="1"/>
  <c r="G503" i="1" s="1"/>
  <c r="F504" i="1" a="1"/>
  <c r="F504" i="1" s="1"/>
  <c r="G504" i="1" a="1"/>
  <c r="G504" i="1" s="1"/>
  <c r="F505" i="1" a="1"/>
  <c r="F505" i="1" s="1"/>
  <c r="G505" i="1" a="1"/>
  <c r="G505" i="1" s="1"/>
  <c r="F2" i="1" a="1"/>
  <c r="F2" i="1" s="1"/>
  <c r="G2" i="1" a="1"/>
  <c r="G2" i="1" s="1"/>
  <c r="E3" i="1" a="1"/>
  <c r="E3" i="1" s="1"/>
  <c r="E4" i="1" a="1"/>
  <c r="E4" i="1" s="1"/>
  <c r="E5" i="1" a="1"/>
  <c r="E5" i="1"/>
  <c r="E6" i="1" a="1"/>
  <c r="E6" i="1"/>
  <c r="E7" i="1" a="1"/>
  <c r="E7" i="1" s="1"/>
  <c r="E8" i="1" a="1"/>
  <c r="E8" i="1" s="1"/>
  <c r="E9" i="1" a="1"/>
  <c r="E9" i="1" s="1"/>
  <c r="E10" i="1" a="1"/>
  <c r="E10" i="1" s="1"/>
  <c r="E11" i="1" a="1"/>
  <c r="E11" i="1"/>
  <c r="E12" i="1" a="1"/>
  <c r="E12" i="1"/>
  <c r="E13" i="1" a="1"/>
  <c r="E13" i="1" s="1"/>
  <c r="E14" i="1" a="1"/>
  <c r="E14" i="1" s="1"/>
  <c r="E15" i="1" a="1"/>
  <c r="E15" i="1" s="1"/>
  <c r="E16" i="1" a="1"/>
  <c r="E16" i="1" s="1"/>
  <c r="E17" i="1" a="1"/>
  <c r="E17" i="1"/>
  <c r="E18" i="1" a="1"/>
  <c r="E18" i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/>
  <c r="E319" i="1" a="1"/>
  <c r="E319" i="1" s="1"/>
  <c r="E320" i="1" a="1"/>
  <c r="E320" i="1" s="1"/>
  <c r="E321" i="1" a="1"/>
  <c r="E321" i="1" s="1"/>
  <c r="E322" i="1" a="1"/>
  <c r="E322" i="1" s="1"/>
  <c r="E323" i="1" a="1"/>
  <c r="E323" i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/>
  <c r="E337" i="1" a="1"/>
  <c r="E337" i="1" s="1"/>
  <c r="E338" i="1" a="1"/>
  <c r="E338" i="1" s="1"/>
  <c r="E339" i="1" a="1"/>
  <c r="E339" i="1" s="1"/>
  <c r="E340" i="1" a="1"/>
  <c r="E340" i="1" s="1"/>
  <c r="E341" i="1" a="1"/>
  <c r="E341" i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/>
  <c r="E355" i="1" a="1"/>
  <c r="E355" i="1" s="1"/>
  <c r="E356" i="1" a="1"/>
  <c r="E356" i="1" s="1"/>
  <c r="E357" i="1" a="1"/>
  <c r="E357" i="1" s="1"/>
  <c r="E358" i="1" a="1"/>
  <c r="E358" i="1" s="1"/>
  <c r="E359" i="1" a="1"/>
  <c r="E359" i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/>
  <c r="E421" i="1" a="1"/>
  <c r="E421" i="1" s="1"/>
  <c r="E422" i="1" a="1"/>
  <c r="E422" i="1" s="1"/>
  <c r="E423" i="1" a="1"/>
  <c r="E423" i="1" s="1"/>
  <c r="E424" i="1" a="1"/>
  <c r="E424" i="1" s="1"/>
  <c r="E425" i="1" a="1"/>
  <c r="E425" i="1"/>
  <c r="E426" i="1" a="1"/>
  <c r="E426" i="1"/>
  <c r="E427" i="1" a="1"/>
  <c r="E427" i="1" s="1"/>
  <c r="E428" i="1" a="1"/>
  <c r="E428" i="1" s="1"/>
  <c r="E429" i="1" a="1"/>
  <c r="E429" i="1" s="1"/>
  <c r="E430" i="1" a="1"/>
  <c r="E430" i="1" s="1"/>
  <c r="E431" i="1" a="1"/>
  <c r="E431" i="1"/>
  <c r="E432" i="1" a="1"/>
  <c r="E432" i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<sst xmlns="http://schemas.openxmlformats.org/spreadsheetml/2006/main" count="1043" uniqueCount="33">
  <si>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</si>
  <si>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</si>
  <si>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</si>
  <si>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</si>
  <si>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</si>
  <si>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</si>
  <si>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</si>
  <si>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</si>
  <si>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</si>
  <si>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</si>
  <si>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</si>
  <si>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</si>
  <si>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</si>
  <si>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</si>
  <si>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</si>
  <si>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</si>
  <si>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</si>
  <si>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</si>
  <si>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</si>
  <si>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</si>
  <si>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</si>
  <si>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</si>
  <si>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</si>
  <si>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</si>
  <si>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</si>
  <si>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</si>
  <si>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</si>
  <si>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</si>
  <si>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</si>
  <si>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 на склад</t>
  </si>
  <si>
    <t>Сумма по полю Товарооборот, руб</t>
  </si>
  <si>
    <t>Топ-3 территорий по товарообороту на склад за последнюю неделю</t>
  </si>
  <si>
    <t>Топ-3 территорий по доле в общем товарообороте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</si>
</sst>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7" formatCode="_-* #,##0.00\ [$₽-419]_-;\-* #,##0.00\ [$₽-419]_-;_-* &quot;-&quot;??\ [$₽-419]_-;_-@_-"/>
    <numFmt numFmtId="168" formatCode="#,##0\ [$₽-419]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4" fillId="0" borderId="0" xfId="0" applyFont="1"/>
    <xf numFmtId="168" fontId="0" fillId="0" borderId="0" xfId="0" applyNumberFormat="1"/>
  </cellXfs>
  <cellStyles count="1">
    <cellStyle name="Обычный" xfId="0" builtinId="0"/>
  </cellStyles>
  <dxfs count="17">
    <dxf>
      <numFmt numFmtId="166" formatCode="#,##0.00\ &quot;₸&quot;"/>
    </dxf>
    <dxf>
      <numFmt numFmtId="168" formatCode="#,##0\ [$₽-419]"/>
    </dxf>
    <dxf>
      <numFmt numFmtId="167" formatCode="_-* #,##0.00\ [$₽-419]_-;\-* #,##0.00\ [$₽-419]_-;_-* &quot;-&quot;??\ [$₽-419]_-;_-@_-"/>
    </dxf>
    <dxf>
      <numFmt numFmtId="0" formatCode="General"/>
    </dxf>
    <dxf>
      <numFmt numFmtId="166" formatCode="#,##0.00\ &quot;₸&quot;"/>
    </dxf>
    <dxf>
      <numFmt numFmtId="167" formatCode="_-* #,##0.00\ [$₽-419]_-;\-* #,##0.00\ [$₽-419]_-;_-* &quot;-&quot;??\ [$₽-419]_-;_-@_-"/>
    </dxf>
    <dxf>
      <numFmt numFmtId="167" formatCode="_-* #,##0.00\ [$₽-419]_-;\-* #,##0.00\ [$₽-419]_-;_-* &quot;-&quot;??\ [$₽-419]_-;_-@_-"/>
    </dxf>
    <dxf>
      <numFmt numFmtId="167" formatCode="_-* #,##0.00\ [$₽-419]_-;\-* #,##0.00\ [$₽-419]_-;_-* &quot;-&quot;??\ [$₽-419]_-;_-@_-"/>
    </dxf>
    <dxf>
      <numFmt numFmtId="0" formatCode="General"/>
    </dxf>
    <dxf>
      <numFmt numFmtId="166" formatCode="#,##0.00\ &quot;₸&quot;"/>
    </dxf>
    <dxf>
      <numFmt numFmtId="168" formatCode="#,##0\ [$₽-419]"/>
    </dxf>
    <dxf>
      <numFmt numFmtId="166" formatCode="#,##0.00\ &quot;₸&quot;"/>
    </dxf>
    <dxf>
      <numFmt numFmtId="167" formatCode="_-* #,##0.00\ [$₽-419]_-;\-* #,##0.00\ [$₽-419]_-;_-* &quot;-&quot;??\ [$₽-419]_-;_-@_-"/>
    </dxf>
    <dxf>
      <numFmt numFmtId="167" formatCode="_-* #,##0.00\ [$₽-419]_-;\-* #,##0.00\ [$₽-419]_-;_-* &quot;-&quot;??\ [$₽-419]_-;_-@_-"/>
    </dxf>
    <dxf>
      <numFmt numFmtId="0" formatCode="General"/>
    </dxf>
    <dxf>
      <numFmt numFmtId="0" formatCode="General"/>
    </dxf>
    <dxf>
      <numFmt numFmtId="167" formatCode="_-* #,##0.00\ [$₽-419]_-;\-* #,##0.00\ [$₽-419]_-;_-* &quot;-&quot;??\ [$₽-419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.xlsx]Лист3!Сводная таблица3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25798296045502"/>
          <c:y val="0.11982292323792253"/>
          <c:w val="0.44559714478452872"/>
          <c:h val="0.71286700176623097"/>
        </c:manualLayout>
      </c:layout>
      <c:lineChart>
        <c:grouping val="standard"/>
        <c:varyColors val="0"/>
        <c:ser>
          <c:idx val="0"/>
          <c:order val="0"/>
          <c:tx>
            <c:strRef>
              <c:f>Лист3!$B$12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Лист3!$A$13:$A$19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Лист3!$B$13:$B$19</c:f>
              <c:numCache>
                <c:formatCode>#\ ##0\ [$₽-419]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FC-4A5B-AB96-DF9D812DF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445064"/>
        <c:axId val="703439304"/>
      </c:lineChart>
      <c:lineChart>
        <c:grouping val="standard"/>
        <c:varyColors val="0"/>
        <c:ser>
          <c:idx val="1"/>
          <c:order val="1"/>
          <c:tx>
            <c:strRef>
              <c:f>Лист3!$C$12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Лист3!$A$13:$A$19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Лист3!$C$13:$C$19</c:f>
              <c:numCache>
                <c:formatCode>General</c:formatCode>
                <c:ptCount val="6"/>
                <c:pt idx="0">
                  <c:v>15050189.540000005</c:v>
                </c:pt>
                <c:pt idx="1">
                  <c:v>17810866.510000002</c:v>
                </c:pt>
                <c:pt idx="2">
                  <c:v>17504431.260000002</c:v>
                </c:pt>
                <c:pt idx="3">
                  <c:v>18752594.790000003</c:v>
                </c:pt>
                <c:pt idx="4">
                  <c:v>20458986.969999999</c:v>
                </c:pt>
                <c:pt idx="5">
                  <c:v>2786041.44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C-4A5B-AB96-DF9D812DF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442184"/>
        <c:axId val="703441824"/>
      </c:lineChart>
      <c:catAx>
        <c:axId val="703445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03439304"/>
        <c:crosses val="autoZero"/>
        <c:auto val="1"/>
        <c:lblAlgn val="ctr"/>
        <c:lblOffset val="100"/>
        <c:noMultiLvlLbl val="0"/>
      </c:catAx>
      <c:valAx>
        <c:axId val="70343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[$₽-419]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03445064"/>
        <c:crosses val="autoZero"/>
        <c:crossBetween val="between"/>
      </c:valAx>
      <c:valAx>
        <c:axId val="70344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03442184"/>
        <c:crosses val="max"/>
        <c:crossBetween val="between"/>
      </c:valAx>
      <c:catAx>
        <c:axId val="703442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3441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20430745201862"/>
          <c:y val="0.27056149017589121"/>
          <c:w val="0.22679569254798138"/>
          <c:h val="0.3441814714413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104773</xdr:colOff>
      <xdr:row>11</xdr:row>
      <xdr:rowOff>4761</xdr:rowOff>
    </xdr:from>
    <xdr:to>
      <xdr:col>9</xdr:col>
      <xdr:colOff>762000</xdr:colOff>
      <xdr:row>31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2AE4540-74F3-95FF-748A-19BFD8109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o" refreshedDate="46159.539556944444" createdVersion="8" refreshedVersion="8" minRefreshableVersion="3" recordCount="504" xr:uid="{46E06873-5BD7-46CB-BF5C-277E5B4C497E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 count="504">
        <n v="41598.1"/>
        <n v="52473.4"/>
        <n v="42929.599999999999"/>
        <n v="161709.14000000001"/>
        <n v="131957.93"/>
        <n v="137259.93"/>
        <n v="134810.43"/>
        <n v="118615.5"/>
        <n v="145748.92000000001"/>
        <n v="150624.82999999999"/>
        <n v="148516.5"/>
        <n v="168403"/>
        <n v="123608.5"/>
        <n v="130684.86"/>
        <n v="139491.93"/>
        <n v="145338.15"/>
        <n v="133977.07999999999"/>
        <n v="125227.71"/>
        <n v="121745.7"/>
        <n v="146931.15"/>
        <n v="172796.5"/>
        <n v="158829"/>
        <n v="148273.5"/>
        <n v="157760.35999999999"/>
        <n v="125960"/>
        <n v="117724.43"/>
        <n v="146237.32999999999"/>
        <n v="165423.57"/>
        <n v="196089.23"/>
        <n v="141388.65"/>
        <n v="244637.37"/>
        <n v="219855.19"/>
        <n v="218546.66"/>
        <n v="202094.61"/>
        <n v="214266.1"/>
        <n v="231628.98"/>
        <n v="179167.5"/>
        <n v="215369.66"/>
        <n v="286871.76"/>
        <n v="206398.74"/>
        <n v="213995.08"/>
        <n v="233792.76"/>
        <n v="223268.27"/>
        <n v="231085.31"/>
        <n v="225611.37"/>
        <n v="226247.42"/>
        <n v="198988.94"/>
        <n v="260940.1"/>
        <n v="214374.29"/>
        <n v="226571.85"/>
        <n v="241393.35"/>
        <n v="203025.05"/>
        <n v="212641.4"/>
        <n v="208097.8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4"/>
        <n v="63788.1"/>
        <n v="295635.73"/>
        <n v="69683.25"/>
        <n v="124138.35"/>
        <n v="214244.18"/>
        <n v="103044"/>
        <n v="71619.600000000006"/>
        <n v="100478.85"/>
        <n v="95970.3"/>
        <n v="86375.4"/>
        <n v="82898.399999999994"/>
        <n v="104551.5"/>
        <n v="126048.3"/>
        <n v="111455.25"/>
        <n v="169606.18"/>
        <n v="150807.24"/>
        <n v="141804.71"/>
        <n v="152745.63"/>
        <n v="128998.34"/>
        <n v="133199.32999999999"/>
        <n v="94696.34"/>
        <n v="145370.54999999999"/>
        <n v="124966.11"/>
        <n v="124759.58"/>
        <n v="150167.45000000001"/>
        <n v="141696.32000000001"/>
        <n v="109468.42"/>
        <n v="125695.15"/>
        <n v="124912.5"/>
        <n v="114226.82"/>
        <n v="117501"/>
        <n v="169268.63"/>
        <n v="143286.38"/>
        <n v="119350.74"/>
        <n v="150647.29"/>
        <n v="119550.24"/>
        <n v="123719.61"/>
        <n v="145776.68"/>
        <n v="149599.95000000001"/>
        <n v="182708.33"/>
        <n v="150210.68"/>
        <n v="249890.42"/>
        <n v="210028.09"/>
        <n v="206666.13"/>
        <n v="230761.23"/>
        <n v="227580.93"/>
        <n v="241166.31"/>
        <n v="188697.8"/>
        <n v="216066.81"/>
        <n v="240723.38"/>
        <n v="225135.81"/>
        <n v="215913.95"/>
        <n v="227664.9"/>
        <n v="211460.78"/>
        <n v="227804.94"/>
        <n v="205174.06"/>
        <n v="220364.35"/>
        <n v="223029.54"/>
        <n v="272123.46000000002"/>
        <n v="210588.48"/>
        <n v="251309.14"/>
        <n v="228962.61"/>
        <n v="295283.38"/>
        <n v="196319.93"/>
        <n v="218515.77"/>
        <n v="338589.05"/>
        <n v="296185.94"/>
        <n v="294676.53999999998"/>
        <n v="309547.42"/>
        <n v="307255.63"/>
        <n v="332475.07"/>
        <n v="254749.9"/>
        <n v="309402.90999999997"/>
        <n v="320617.55"/>
        <n v="316628.62"/>
        <n v="303217.25"/>
        <n v="317114.46999999997"/>
        <n v="285373.87"/>
        <n v="319344.23"/>
        <n v="297576.92"/>
        <n v="227347.02"/>
        <n v="293056"/>
        <n v="276934.06"/>
        <n v="304738.75"/>
        <n v="371264.64"/>
        <n v="218224.84"/>
        <n v="297447"/>
        <n v="344229.88"/>
        <n v="312087"/>
        <n v="392985.44"/>
        <n v="270111.90999999997"/>
        <n v="305531.05"/>
        <n v="184782.75"/>
        <n v="171485.08"/>
        <n v="165355.63"/>
        <n v="201484.08"/>
        <n v="154484.79"/>
        <n v="179290.5"/>
        <n v="114395.88"/>
        <n v="162916.38"/>
        <n v="195339.58"/>
        <n v="153420.71"/>
        <n v="162891.25"/>
        <n v="197831.83"/>
        <n v="160292.75"/>
        <n v="174673.5"/>
        <n v="175939.67"/>
        <n v="317582.08000000002"/>
        <n v="172814.46"/>
        <n v="373958.9"/>
        <n v="151503.38"/>
        <n v="199253.25"/>
        <n v="306029.75"/>
        <n v="158462.5"/>
        <n v="189433.17"/>
        <n v="214613.04"/>
        <n v="149047.46"/>
        <n v="171551.04"/>
        <n v="169395.46"/>
        <n v="191673.71"/>
        <n v="169187.5"/>
        <n v="151959.79"/>
        <n v="146899.64000000001"/>
        <n v="140892.68"/>
        <n v="138294.47"/>
        <n v="123523.28"/>
        <n v="176205.29"/>
        <n v="214662.08"/>
        <n v="146695.93"/>
        <n v="181447.36"/>
        <n v="186618.43"/>
        <n v="132434.4"/>
        <n v="150715.82"/>
        <n v="156574.71"/>
        <n v="175698.61"/>
        <n v="136000.13"/>
        <n v="245902.34"/>
        <n v="136906.35"/>
        <n v="184915"/>
        <n v="164917.04999999999"/>
        <n v="169602.64"/>
        <n v="142665.53"/>
        <n v="169004.64"/>
        <n v="152445.64000000001"/>
        <n v="139738.29"/>
        <n v="164252.5"/>
        <n v="173658.85"/>
        <n v="202565.52"/>
        <n v="176985.48"/>
        <n v="106761.7"/>
        <n v="85302.94"/>
        <n v="91838.5"/>
        <n v="81528.800000000003"/>
        <n v="72347.399999999994"/>
        <n v="74399.5"/>
        <n v="70214.7"/>
        <n v="87596.03"/>
        <n v="97722.8"/>
        <n v="74922"/>
        <n v="81220.679999999993"/>
        <n v="89390.91"/>
        <n v="92278.6"/>
        <n v="73525.8"/>
        <n v="82900.5"/>
        <n v="74667.3"/>
        <n v="81403.8"/>
        <n v="109058.91"/>
        <n v="88698.09"/>
        <n v="73537.899999999994"/>
        <n v="98102.5"/>
        <n v="84652.4"/>
        <n v="74926.3"/>
        <n v="91064.65"/>
        <n v="81002.2"/>
        <n v="93536.5"/>
        <n v="70699.3"/>
        <n v="72081.100000000006"/>
        <n v="40723.699999999997"/>
        <n v="131161.92000000001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9"/>
        <n v="44353.5"/>
        <n v="144544.24"/>
        <n v="49286.1"/>
        <n v="87671.7"/>
        <n v="87525.18"/>
        <n v="82045.8"/>
        <n v="26979.4"/>
        <n v="79885.7"/>
        <n v="53250.6"/>
        <n v="51285.1"/>
        <n v="78991"/>
        <n v="153835.97"/>
        <n v="128764.74"/>
        <n v="128191.18"/>
        <n v="125523"/>
        <n v="113456.21"/>
        <n v="88571.13"/>
        <n v="120540.15"/>
        <n v="166763.68"/>
        <n v="118061.05"/>
        <n v="115733.45"/>
        <n v="132671.53"/>
        <n v="125280.71"/>
        <n v="119139.55"/>
        <n v="83549.34"/>
        <n v="100345.11"/>
        <n v="100568.16"/>
        <n v="113650.03"/>
        <n v="162586.34"/>
        <n v="77484.19"/>
        <n v="125640.15"/>
        <n v="134741.04999999999"/>
        <n v="145645.82"/>
        <n v="117682.11"/>
        <n v="121491.39"/>
        <n v="132995.21"/>
        <n v="366361.58"/>
        <n v="357879.64"/>
        <n v="133063.07"/>
        <n v="150266.70000000001"/>
        <n v="127960.58"/>
        <n v="394823.05"/>
        <n v="365764.3"/>
        <n v="325773.09999999998"/>
        <n v="325739.52000000002"/>
        <n v="411732.51"/>
        <n v="386507.25"/>
        <n v="332633.28999999998"/>
        <n v="426498.84"/>
        <n v="430734.76"/>
        <n v="320086.33"/>
        <n v="370888.25"/>
        <n v="365988.1"/>
        <n v="371515.86"/>
        <n v="370430.81"/>
        <n v="323954.55"/>
        <n v="449021.67"/>
        <n v="390389.69"/>
        <n v="476515.18"/>
        <n v="348860.06"/>
        <n v="381864.41"/>
        <n v="421871.26"/>
        <n v="404778.79"/>
        <n v="380680.17"/>
        <n v="332663.34999999998"/>
        <n v="413987.75"/>
        <n v="381297.64"/>
        <n v="341649.83"/>
        <n v="334922.19"/>
        <n v="422163.47"/>
        <n v="344924.47"/>
        <n v="441784.17"/>
        <n v="443584"/>
        <n v="346630.31"/>
        <n v="389679.14"/>
        <n v="396506.47"/>
        <n v="386669.31"/>
        <n v="347851.86"/>
        <n v="365852.82"/>
        <n v="472575.42"/>
        <n v="415716.03"/>
        <n v="409748.97"/>
        <n v="496419"/>
        <n v="342262.23"/>
        <n v="366794.94"/>
        <n v="402601.11"/>
        <n v="434143.06"/>
        <n v="423075.53"/>
        <n v="397463.39"/>
        <n v="353168.83"/>
        <n v="65434.6"/>
        <n v="66169.399999999994"/>
        <n v="383652.75"/>
        <n v="447258.89"/>
        <n v="362019.19"/>
        <n v="82271.91"/>
        <n v="66282.97"/>
        <n v="72345.56"/>
        <n v="63720.1"/>
        <n v="60422.9"/>
        <n v="54457.3"/>
        <n v="119116.5"/>
        <n v="75629.600000000006"/>
        <n v="72818.5"/>
        <n v="65143"/>
        <n v="71632.320000000007"/>
        <n v="76371.7"/>
        <n v="78179.399999999994"/>
        <n v="54410"/>
        <n v="67771.100000000006"/>
        <n v="80966.17"/>
        <n v="73705.83"/>
        <n v="66967.399999999994"/>
        <n v="81103.8"/>
        <n v="69789.899999999994"/>
        <n v="64392"/>
        <n v="77014.58"/>
        <n v="67247.58"/>
        <n v="42423"/>
        <n v="54877"/>
        <n v="132667.93"/>
        <n v="43415.8"/>
        <n v="99238.5"/>
        <n v="150787.57999999999"/>
        <n v="147193.79"/>
        <n v="78139.25"/>
        <n v="118066.5"/>
        <n v="98508.58"/>
        <n v="77080.17"/>
        <n v="134589.5"/>
        <n v="128720.57"/>
        <n v="144680.64000000001"/>
        <n v="140239.79"/>
        <n v="123717.64"/>
        <n v="159658.35"/>
        <n v="216163.98"/>
        <n v="249305.32"/>
        <n v="220320.05"/>
        <n v="79078.33"/>
        <n v="206410.31"/>
        <n v="213216.58"/>
        <n v="195279"/>
        <n v="221821.11"/>
        <n v="105479.85"/>
        <n v="145504.95000000001"/>
        <n v="100774.2"/>
        <n v="73433.55"/>
        <n v="238294.06"/>
        <n v="93642.75"/>
        <n v="98156.4"/>
        <n v="115057.95"/>
        <n v="127346.4"/>
        <n v="146206.65"/>
        <n v="170709"/>
        <n v="150675.6"/>
        <n v="205893.63"/>
        <n v="136218.32"/>
        <n v="128501.05"/>
        <n v="155214.63"/>
        <n v="162902.70000000001"/>
        <n v="226798.4"/>
        <n v="228416.81"/>
        <n v="216953.85"/>
        <n v="190916.54"/>
        <n v="213451.82"/>
        <n v="218459.63"/>
        <n v="250808.77"/>
        <n v="314797.27"/>
        <n v="315986.99"/>
        <n v="302909.27"/>
        <n v="270252.65000000002"/>
        <n v="323776.28000000003"/>
        <n v="295015.09999999998"/>
        <n v="303705.2"/>
        <n v="338171.02"/>
        <n v="166274.82999999999"/>
        <n v="165096.92000000001"/>
        <n v="156764.59"/>
        <n v="143838.04"/>
        <n v="436871.2"/>
        <n v="161068.79"/>
        <n v="149072.29"/>
        <n v="174832"/>
        <n v="180040.57"/>
        <n v="230515.86"/>
        <n v="168054.39"/>
        <n v="146649.07"/>
        <n v="195362.03"/>
        <n v="160006.43"/>
        <n v="150784.71"/>
        <n v="179631.35999999999"/>
        <n v="186754.36"/>
        <n v="94299.09"/>
        <n v="104372.29"/>
        <n v="89800.5"/>
        <n v="73066.8"/>
        <n v="77885.16"/>
        <n v="81566.100000000006"/>
        <n v="91365.5"/>
        <n v="80763.8"/>
        <n v="94127.3"/>
        <n v="97852.03"/>
        <n v="72077.2"/>
        <n v="103804.06"/>
        <n v="74343.100000000006"/>
        <n v="64233.5"/>
        <n v="74848.7"/>
        <n v="122927.78"/>
        <n v="133721.84"/>
        <n v="120903.21"/>
        <n v="113913.95"/>
        <n v="96813.75"/>
        <n v="122341.58"/>
        <n v="117123.24"/>
        <n v="130394.05"/>
        <n v="142737.07999999999"/>
        <n v="378683.06"/>
        <n v="373012.88"/>
        <n v="329921.57"/>
        <n v="298652.40000000002"/>
        <n v="340373.93"/>
        <n v="332373.93"/>
        <n v="384753.7"/>
        <n v="388024.53"/>
        <n v="385418.25"/>
        <n v="350262.86"/>
        <n v="314282.06"/>
        <n v="391871.92"/>
        <n v="367687.44"/>
        <n v="345203.67"/>
        <n v="405468.42"/>
        <n v="415113.92"/>
        <n v="98240.57"/>
        <n v="77709.5"/>
        <n v="43223.67"/>
        <n v="58690.400000000001"/>
        <n v="76919.44"/>
        <n v="70729.78"/>
        <n v="68190"/>
        <n v="75011.08"/>
        <n v="68482"/>
        <n v="121548.64"/>
        <n v="114635.36"/>
        <n v="79903.08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x v="0"/>
    <x v="0"/>
  </r>
  <r>
    <d v="2020-05-30T00:00:00"/>
    <x v="0"/>
    <n v="10029"/>
    <n v="787101"/>
    <n v="15"/>
    <n v="490"/>
    <n v="409"/>
    <x v="1"/>
    <x v="0"/>
  </r>
  <r>
    <d v="2020-05-28T00:00:00"/>
    <x v="0"/>
    <n v="8536.5"/>
    <n v="643944"/>
    <n v="15"/>
    <n v="464"/>
    <n v="390"/>
    <x v="2"/>
    <x v="0"/>
  </r>
  <r>
    <d v="2020-05-16T00:00:00"/>
    <x v="1"/>
    <n v="38947.5"/>
    <n v="3395892"/>
    <n v="21"/>
    <n v="2145"/>
    <n v="1947"/>
    <x v="3"/>
    <x v="1"/>
  </r>
  <r>
    <d v="2020-05-19T00:00:00"/>
    <x v="1"/>
    <n v="31842"/>
    <n v="2771116.5"/>
    <n v="21"/>
    <n v="1860"/>
    <n v="1704"/>
    <x v="4"/>
    <x v="2"/>
  </r>
  <r>
    <d v="2020-05-17T00:00:00"/>
    <x v="1"/>
    <n v="32023.5"/>
    <n v="2882458.5"/>
    <n v="21"/>
    <n v="1874"/>
    <n v="1705"/>
    <x v="5"/>
    <x v="1"/>
  </r>
  <r>
    <d v="2020-05-09T00:00:00"/>
    <x v="1"/>
    <n v="31147.5"/>
    <n v="2831019"/>
    <n v="21"/>
    <n v="1735"/>
    <n v="1568"/>
    <x v="6"/>
    <x v="3"/>
  </r>
  <r>
    <d v="2020-05-04T00:00:00"/>
    <x v="1"/>
    <n v="25566"/>
    <n v="2372310"/>
    <n v="20"/>
    <n v="1519"/>
    <n v="1372"/>
    <x v="7"/>
    <x v="3"/>
  </r>
  <r>
    <d v="2020-04-29T00:00:00"/>
    <x v="1"/>
    <n v="29319"/>
    <n v="2623480.5"/>
    <n v="18"/>
    <n v="1684"/>
    <n v="1528"/>
    <x v="8"/>
    <x v="4"/>
  </r>
  <r>
    <d v="2020-05-02T00:00:00"/>
    <x v="1"/>
    <n v="29031"/>
    <n v="2711247"/>
    <n v="18"/>
    <n v="1708"/>
    <n v="1534"/>
    <x v="9"/>
    <x v="4"/>
  </r>
  <r>
    <d v="2020-05-26T00:00:00"/>
    <x v="1"/>
    <n v="33423"/>
    <n v="2970330"/>
    <n v="20"/>
    <n v="2044"/>
    <n v="1863"/>
    <x v="10"/>
    <x v="0"/>
  </r>
  <r>
    <d v="2020-05-01T00:00:00"/>
    <x v="1"/>
    <n v="32487"/>
    <n v="3031254"/>
    <n v="18"/>
    <n v="1826"/>
    <n v="1633"/>
    <x v="11"/>
    <x v="4"/>
  </r>
  <r>
    <d v="2020-05-12T00:00:00"/>
    <x v="1"/>
    <n v="28219.5"/>
    <n v="2595778.5"/>
    <n v="21"/>
    <n v="1656"/>
    <n v="1516"/>
    <x v="12"/>
    <x v="1"/>
  </r>
  <r>
    <d v="2020-05-21T00:00:00"/>
    <x v="1"/>
    <n v="31272"/>
    <n v="2744382"/>
    <n v="21"/>
    <n v="1787"/>
    <n v="1626"/>
    <x v="13"/>
    <x v="2"/>
  </r>
  <r>
    <d v="2020-05-20T00:00:00"/>
    <x v="1"/>
    <n v="34077"/>
    <n v="2929330.5"/>
    <n v="21"/>
    <n v="1921"/>
    <n v="1767"/>
    <x v="14"/>
    <x v="2"/>
  </r>
  <r>
    <d v="2020-05-05T00:00:00"/>
    <x v="1"/>
    <n v="31566"/>
    <n v="2906763"/>
    <n v="20"/>
    <n v="1773"/>
    <n v="1604"/>
    <x v="15"/>
    <x v="3"/>
  </r>
  <r>
    <d v="2020-04-28T00:00:00"/>
    <x v="1"/>
    <n v="26940"/>
    <n v="2411587.5"/>
    <n v="18"/>
    <n v="1539"/>
    <n v="1404"/>
    <x v="16"/>
    <x v="4"/>
  </r>
  <r>
    <d v="2020-05-13T00:00:00"/>
    <x v="1"/>
    <n v="29241"/>
    <n v="2629782"/>
    <n v="21"/>
    <n v="1698"/>
    <n v="1554"/>
    <x v="17"/>
    <x v="1"/>
  </r>
  <r>
    <d v="2020-05-03T00:00:00"/>
    <x v="1"/>
    <n v="26082"/>
    <n v="2434914"/>
    <n v="20"/>
    <n v="1520"/>
    <n v="1373"/>
    <x v="18"/>
    <x v="4"/>
  </r>
  <r>
    <d v="2020-05-06T00:00:00"/>
    <x v="1"/>
    <n v="32511"/>
    <n v="2938623"/>
    <n v="20"/>
    <n v="1784"/>
    <n v="1632"/>
    <x v="19"/>
    <x v="3"/>
  </r>
  <r>
    <d v="2020-05-23T00:00:00"/>
    <x v="1"/>
    <n v="42703.5"/>
    <n v="3628726.5"/>
    <n v="21"/>
    <n v="2340"/>
    <n v="2146"/>
    <x v="20"/>
    <x v="2"/>
  </r>
  <r>
    <d v="2020-05-25T00:00:00"/>
    <x v="1"/>
    <n v="35592"/>
    <n v="3176580"/>
    <n v="20"/>
    <n v="2087"/>
    <n v="1914"/>
    <x v="21"/>
    <x v="0"/>
  </r>
  <r>
    <d v="2020-04-30T00:00:00"/>
    <x v="1"/>
    <n v="30445.5"/>
    <n v="2817196.5"/>
    <n v="19"/>
    <n v="1712"/>
    <n v="1552"/>
    <x v="22"/>
    <x v="4"/>
  </r>
  <r>
    <d v="2020-05-10T00:00:00"/>
    <x v="1"/>
    <n v="36619.5"/>
    <n v="3312967.5"/>
    <n v="21"/>
    <n v="2016"/>
    <n v="1846"/>
    <x v="23"/>
    <x v="3"/>
  </r>
  <r>
    <d v="2020-05-08T00:00:00"/>
    <x v="1"/>
    <n v="29409"/>
    <n v="2645160"/>
    <n v="21"/>
    <n v="1646"/>
    <n v="1492"/>
    <x v="24"/>
    <x v="3"/>
  </r>
  <r>
    <d v="2020-05-07T00:00:00"/>
    <x v="1"/>
    <n v="27018"/>
    <n v="2472213"/>
    <n v="21"/>
    <n v="1542"/>
    <n v="1405"/>
    <x v="25"/>
    <x v="3"/>
  </r>
  <r>
    <d v="2020-05-24T00:00:00"/>
    <x v="1"/>
    <n v="34303.5"/>
    <n v="2924746.5"/>
    <n v="20"/>
    <n v="1999"/>
    <n v="1829"/>
    <x v="26"/>
    <x v="2"/>
  </r>
  <r>
    <d v="2020-05-31T00:00:00"/>
    <x v="1"/>
    <n v="36999"/>
    <n v="3473895"/>
    <n v="21"/>
    <n v="2271"/>
    <n v="2085"/>
    <x v="27"/>
    <x v="0"/>
  </r>
  <r>
    <d v="2020-05-30T00:00:00"/>
    <x v="1"/>
    <n v="44001"/>
    <n v="3921784.5"/>
    <n v="20"/>
    <n v="2597"/>
    <n v="2376"/>
    <x v="28"/>
    <x v="0"/>
  </r>
  <r>
    <d v="2020-05-28T00:00:00"/>
    <x v="1"/>
    <n v="30982.5"/>
    <n v="2827773"/>
    <n v="20"/>
    <n v="1886"/>
    <n v="1736"/>
    <x v="29"/>
    <x v="0"/>
  </r>
  <r>
    <d v="2020-05-16T00:00:00"/>
    <x v="2"/>
    <n v="88063.5"/>
    <n v="7583758.5"/>
    <n v="31"/>
    <n v="5593"/>
    <n v="5177"/>
    <x v="30"/>
    <x v="1"/>
  </r>
  <r>
    <d v="2020-05-19T00:00:00"/>
    <x v="2"/>
    <n v="84024"/>
    <n v="6815511"/>
    <n v="31"/>
    <n v="5389"/>
    <n v="5024"/>
    <x v="31"/>
    <x v="2"/>
  </r>
  <r>
    <d v="2020-05-17T00:00:00"/>
    <x v="2"/>
    <n v="78057"/>
    <n v="6774946.5"/>
    <n v="31"/>
    <n v="5206"/>
    <n v="4843"/>
    <x v="32"/>
    <x v="1"/>
  </r>
  <r>
    <d v="2020-05-09T00:00:00"/>
    <x v="2"/>
    <n v="69720"/>
    <n v="6264933"/>
    <n v="31"/>
    <n v="4556"/>
    <n v="4220"/>
    <x v="33"/>
    <x v="3"/>
  </r>
  <r>
    <d v="2020-05-04T00:00:00"/>
    <x v="2"/>
    <n v="72928.5"/>
    <n v="6642249"/>
    <n v="31"/>
    <n v="4968"/>
    <n v="4596"/>
    <x v="34"/>
    <x v="3"/>
  </r>
  <r>
    <d v="2020-04-29T00:00:00"/>
    <x v="2"/>
    <n v="79527"/>
    <n v="7180498.5"/>
    <n v="31"/>
    <n v="5378"/>
    <n v="4985"/>
    <x v="35"/>
    <x v="4"/>
  </r>
  <r>
    <d v="2020-05-02T00:00:00"/>
    <x v="2"/>
    <n v="60463.5"/>
    <n v="5554192.5"/>
    <n v="31"/>
    <n v="4157"/>
    <n v="3823"/>
    <x v="36"/>
    <x v="4"/>
  </r>
  <r>
    <d v="2020-05-26T00:00:00"/>
    <x v="2"/>
    <n v="79975.5"/>
    <n v="6676459.5"/>
    <n v="31"/>
    <n v="5493"/>
    <n v="5119"/>
    <x v="37"/>
    <x v="0"/>
  </r>
  <r>
    <d v="2020-05-01T00:00:00"/>
    <x v="2"/>
    <n v="97534.5"/>
    <n v="8893024.5"/>
    <n v="31"/>
    <n v="6118"/>
    <n v="5564"/>
    <x v="38"/>
    <x v="4"/>
  </r>
  <r>
    <d v="2020-05-12T00:00:00"/>
    <x v="2"/>
    <n v="71520"/>
    <n v="6398361"/>
    <n v="31"/>
    <n v="4800"/>
    <n v="4470"/>
    <x v="39"/>
    <x v="1"/>
  </r>
  <r>
    <d v="2020-05-21T00:00:00"/>
    <x v="2"/>
    <n v="79485"/>
    <n v="6633847.5"/>
    <n v="31"/>
    <n v="5207"/>
    <n v="4868"/>
    <x v="40"/>
    <x v="2"/>
  </r>
  <r>
    <d v="2020-05-20T00:00:00"/>
    <x v="2"/>
    <n v="93313.5"/>
    <n v="7247575.5"/>
    <n v="31"/>
    <n v="5698"/>
    <n v="5258"/>
    <x v="41"/>
    <x v="2"/>
  </r>
  <r>
    <d v="2020-05-05T00:00:00"/>
    <x v="2"/>
    <n v="76585.5"/>
    <n v="6921316.5"/>
    <n v="31"/>
    <n v="5188"/>
    <n v="4800"/>
    <x v="42"/>
    <x v="3"/>
  </r>
  <r>
    <d v="2020-04-28T00:00:00"/>
    <x v="2"/>
    <n v="81826.5"/>
    <n v="7163644.5"/>
    <n v="31"/>
    <n v="5465"/>
    <n v="5096"/>
    <x v="43"/>
    <x v="4"/>
  </r>
  <r>
    <d v="2020-05-13T00:00:00"/>
    <x v="2"/>
    <n v="78846"/>
    <n v="6993952.5"/>
    <n v="31"/>
    <n v="5251"/>
    <n v="4853"/>
    <x v="44"/>
    <x v="1"/>
  </r>
  <r>
    <d v="2020-05-03T00:00:00"/>
    <x v="2"/>
    <n v="77263.5"/>
    <n v="7013670"/>
    <n v="31"/>
    <n v="5155"/>
    <n v="4762"/>
    <x v="45"/>
    <x v="4"/>
  </r>
  <r>
    <d v="2020-05-06T00:00:00"/>
    <x v="2"/>
    <n v="68994"/>
    <n v="6168657"/>
    <n v="31"/>
    <n v="4709"/>
    <n v="4348"/>
    <x v="46"/>
    <x v="3"/>
  </r>
  <r>
    <d v="2020-05-23T00:00:00"/>
    <x v="2"/>
    <n v="102889.5"/>
    <n v="8089143"/>
    <n v="31"/>
    <n v="6276"/>
    <n v="5801"/>
    <x v="47"/>
    <x v="2"/>
  </r>
  <r>
    <d v="2020-05-25T00:00:00"/>
    <x v="2"/>
    <n v="76999.5"/>
    <n v="6645603"/>
    <n v="31"/>
    <n v="5210"/>
    <n v="4841"/>
    <x v="48"/>
    <x v="0"/>
  </r>
  <r>
    <d v="2020-04-30T00:00:00"/>
    <x v="2"/>
    <n v="77565"/>
    <n v="7023727.5"/>
    <n v="31"/>
    <n v="5120"/>
    <n v="4737"/>
    <x v="49"/>
    <x v="4"/>
  </r>
  <r>
    <d v="2020-05-10T00:00:00"/>
    <x v="2"/>
    <n v="84132"/>
    <n v="7483194"/>
    <n v="31"/>
    <n v="5495"/>
    <n v="5093"/>
    <x v="50"/>
    <x v="3"/>
  </r>
  <r>
    <d v="2020-05-08T00:00:00"/>
    <x v="2"/>
    <n v="69544.5"/>
    <n v="6293776.5"/>
    <n v="31"/>
    <n v="4635"/>
    <n v="4266"/>
    <x v="51"/>
    <x v="3"/>
  </r>
  <r>
    <d v="2020-05-07T00:00:00"/>
    <x v="2"/>
    <n v="73204.5"/>
    <n v="6591883.5"/>
    <n v="31"/>
    <n v="4903"/>
    <n v="4527"/>
    <x v="52"/>
    <x v="3"/>
  </r>
  <r>
    <d v="2020-05-24T00:00:00"/>
    <x v="2"/>
    <n v="76663.5"/>
    <n v="6451032"/>
    <n v="31"/>
    <n v="5035"/>
    <n v="4683"/>
    <x v="53"/>
    <x v="2"/>
  </r>
  <r>
    <d v="2020-05-16T00:00:00"/>
    <x v="3"/>
    <n v="14265"/>
    <n v="1130506.5"/>
    <n v="10"/>
    <n v="760"/>
    <n v="672"/>
    <x v="54"/>
    <x v="1"/>
  </r>
  <r>
    <d v="2020-05-19T00:00:00"/>
    <x v="3"/>
    <n v="11526"/>
    <n v="938764.5"/>
    <n v="10"/>
    <n v="649"/>
    <n v="568"/>
    <x v="55"/>
    <x v="2"/>
  </r>
  <r>
    <d v="2020-05-17T00:00:00"/>
    <x v="3"/>
    <n v="10402.5"/>
    <n v="843727.5"/>
    <n v="10"/>
    <n v="591"/>
    <n v="513"/>
    <x v="56"/>
    <x v="1"/>
  </r>
  <r>
    <d v="2020-05-09T00:00:00"/>
    <x v="3"/>
    <n v="13216.5"/>
    <n v="1046400"/>
    <n v="10"/>
    <n v="644"/>
    <n v="559"/>
    <x v="57"/>
    <x v="3"/>
  </r>
  <r>
    <d v="2020-05-04T00:00:00"/>
    <x v="3"/>
    <n v="9130.5"/>
    <n v="728890.5"/>
    <n v="10"/>
    <n v="462"/>
    <n v="396"/>
    <x v="58"/>
    <x v="3"/>
  </r>
  <r>
    <d v="2020-04-29T00:00:00"/>
    <x v="3"/>
    <n v="10840.5"/>
    <n v="797919"/>
    <n v="10"/>
    <n v="502"/>
    <n v="433"/>
    <x v="59"/>
    <x v="4"/>
  </r>
  <r>
    <d v="2020-05-02T00:00:00"/>
    <x v="3"/>
    <n v="7866"/>
    <n v="617881.5"/>
    <n v="10"/>
    <n v="416"/>
    <n v="341"/>
    <x v="60"/>
    <x v="4"/>
  </r>
  <r>
    <d v="2020-05-26T00:00:00"/>
    <x v="3"/>
    <n v="11835"/>
    <n v="983109"/>
    <n v="10"/>
    <n v="692"/>
    <n v="601"/>
    <x v="61"/>
    <x v="0"/>
  </r>
  <r>
    <d v="2020-05-01T00:00:00"/>
    <x v="3"/>
    <n v="11619"/>
    <n v="891139.5"/>
    <n v="10"/>
    <n v="554"/>
    <n v="472"/>
    <x v="62"/>
    <x v="4"/>
  </r>
  <r>
    <d v="2020-05-12T00:00:00"/>
    <x v="3"/>
    <n v="9328.5"/>
    <n v="732964.5"/>
    <n v="10"/>
    <n v="526"/>
    <n v="448"/>
    <x v="63"/>
    <x v="1"/>
  </r>
  <r>
    <d v="2020-05-21T00:00:00"/>
    <x v="3"/>
    <n v="11250"/>
    <n v="935523"/>
    <n v="10"/>
    <n v="677"/>
    <n v="591"/>
    <x v="64"/>
    <x v="2"/>
  </r>
  <r>
    <d v="2020-05-20T00:00:00"/>
    <x v="3"/>
    <n v="13063.5"/>
    <n v="1037247"/>
    <n v="10"/>
    <n v="745"/>
    <n v="654"/>
    <x v="65"/>
    <x v="2"/>
  </r>
  <r>
    <d v="2020-05-05T00:00:00"/>
    <x v="3"/>
    <n v="10147.5"/>
    <n v="793320"/>
    <n v="10"/>
    <n v="511"/>
    <n v="437"/>
    <x v="66"/>
    <x v="3"/>
  </r>
  <r>
    <d v="2020-04-28T00:00:00"/>
    <x v="3"/>
    <n v="12331.5"/>
    <n v="869983.5"/>
    <n v="10"/>
    <n v="580"/>
    <n v="506"/>
    <x v="67"/>
    <x v="4"/>
  </r>
  <r>
    <d v="2020-05-13T00:00:00"/>
    <x v="3"/>
    <n v="11202"/>
    <n v="865714.5"/>
    <n v="10"/>
    <n v="612"/>
    <n v="530"/>
    <x v="68"/>
    <x v="1"/>
  </r>
  <r>
    <d v="2020-05-31T00:00:00"/>
    <x v="2"/>
    <n v="89149.5"/>
    <n v="7512646.5"/>
    <n v="31"/>
    <n v="5760"/>
    <n v="5367"/>
    <x v="69"/>
    <x v="0"/>
  </r>
  <r>
    <d v="2020-05-03T00:00:00"/>
    <x v="3"/>
    <n v="8185.5"/>
    <n v="637881"/>
    <n v="10"/>
    <n v="402"/>
    <n v="333"/>
    <x v="70"/>
    <x v="4"/>
  </r>
  <r>
    <d v="2020-05-30T00:00:00"/>
    <x v="2"/>
    <n v="108123"/>
    <n v="9164707.5"/>
    <n v="31"/>
    <n v="6735"/>
    <n v="6264"/>
    <x v="71"/>
    <x v="0"/>
  </r>
  <r>
    <d v="2020-05-06T00:00:00"/>
    <x v="3"/>
    <n v="9210"/>
    <n v="696832.5"/>
    <n v="10"/>
    <n v="465"/>
    <n v="390"/>
    <x v="72"/>
    <x v="3"/>
  </r>
  <r>
    <d v="2020-05-23T00:00:00"/>
    <x v="3"/>
    <n v="14773.5"/>
    <n v="1241383.5"/>
    <n v="10"/>
    <n v="828"/>
    <n v="734"/>
    <x v="73"/>
    <x v="2"/>
  </r>
  <r>
    <d v="2020-05-28T00:00:00"/>
    <x v="2"/>
    <n v="78141"/>
    <n v="6641569.5"/>
    <n v="31"/>
    <n v="5355"/>
    <n v="4969"/>
    <x v="74"/>
    <x v="0"/>
  </r>
  <r>
    <d v="2020-05-25T00:00:00"/>
    <x v="3"/>
    <n v="12280.5"/>
    <n v="1030440"/>
    <n v="10"/>
    <n v="739"/>
    <n v="642"/>
    <x v="75"/>
    <x v="0"/>
  </r>
  <r>
    <d v="2020-04-30T00:00:00"/>
    <x v="3"/>
    <n v="8934"/>
    <n v="716196"/>
    <n v="10"/>
    <n v="448"/>
    <n v="376"/>
    <x v="76"/>
    <x v="4"/>
  </r>
  <r>
    <d v="2020-05-10T00:00:00"/>
    <x v="3"/>
    <n v="12918"/>
    <n v="1004788.5"/>
    <n v="10"/>
    <n v="642"/>
    <n v="556"/>
    <x v="77"/>
    <x v="3"/>
  </r>
  <r>
    <d v="2020-05-08T00:00:00"/>
    <x v="3"/>
    <n v="12528"/>
    <n v="959703"/>
    <n v="10"/>
    <n v="638"/>
    <n v="547"/>
    <x v="78"/>
    <x v="3"/>
  </r>
  <r>
    <d v="2020-05-07T00:00:00"/>
    <x v="3"/>
    <n v="11029.5"/>
    <n v="863754"/>
    <n v="10"/>
    <n v="563"/>
    <n v="486"/>
    <x v="79"/>
    <x v="3"/>
  </r>
  <r>
    <d v="2020-05-24T00:00:00"/>
    <x v="3"/>
    <n v="9994.5"/>
    <n v="828984"/>
    <n v="10"/>
    <n v="639"/>
    <n v="557"/>
    <x v="80"/>
    <x v="2"/>
  </r>
  <r>
    <d v="2020-05-31T00:00:00"/>
    <x v="3"/>
    <n v="12724.5"/>
    <n v="1045515"/>
    <n v="10"/>
    <n v="749"/>
    <n v="655"/>
    <x v="81"/>
    <x v="0"/>
  </r>
  <r>
    <d v="2020-05-30T00:00:00"/>
    <x v="3"/>
    <n v="14728.5"/>
    <n v="1260483"/>
    <n v="10"/>
    <n v="865"/>
    <n v="763"/>
    <x v="82"/>
    <x v="0"/>
  </r>
  <r>
    <d v="2020-05-28T00:00:00"/>
    <x v="3"/>
    <n v="13038"/>
    <n v="1114552.5"/>
    <n v="10"/>
    <n v="791"/>
    <n v="697"/>
    <x v="83"/>
    <x v="0"/>
  </r>
  <r>
    <d v="2020-05-16T00:00:00"/>
    <x v="4"/>
    <n v="35482.5"/>
    <n v="3222517.5"/>
    <n v="19"/>
    <n v="2080"/>
    <n v="1844"/>
    <x v="84"/>
    <x v="1"/>
  </r>
  <r>
    <d v="2020-05-19T00:00:00"/>
    <x v="4"/>
    <n v="32434.5"/>
    <n v="2865337.5"/>
    <n v="19"/>
    <n v="1999"/>
    <n v="1799"/>
    <x v="85"/>
    <x v="2"/>
  </r>
  <r>
    <d v="2020-05-17T00:00:00"/>
    <x v="4"/>
    <n v="30486"/>
    <n v="2694289.5"/>
    <n v="19"/>
    <n v="1871"/>
    <n v="1660"/>
    <x v="86"/>
    <x v="1"/>
  </r>
  <r>
    <d v="2020-05-09T00:00:00"/>
    <x v="4"/>
    <n v="32079"/>
    <n v="2902167"/>
    <n v="19"/>
    <n v="1851"/>
    <n v="1635"/>
    <x v="87"/>
    <x v="3"/>
  </r>
  <r>
    <d v="2020-05-04T00:00:00"/>
    <x v="4"/>
    <n v="27072"/>
    <n v="2450968.5"/>
    <n v="19"/>
    <n v="1582"/>
    <n v="1403"/>
    <x v="88"/>
    <x v="3"/>
  </r>
  <r>
    <d v="2020-04-29T00:00:00"/>
    <x v="4"/>
    <n v="25917"/>
    <n v="2397588"/>
    <n v="18"/>
    <n v="1534"/>
    <n v="1369"/>
    <x v="89"/>
    <x v="4"/>
  </r>
  <r>
    <d v="2020-05-02T00:00:00"/>
    <x v="4"/>
    <n v="19461"/>
    <n v="1799230.5"/>
    <n v="19"/>
    <n v="1217"/>
    <n v="1048"/>
    <x v="90"/>
    <x v="4"/>
  </r>
  <r>
    <d v="2020-05-26T00:00:00"/>
    <x v="4"/>
    <n v="31407"/>
    <n v="2907411"/>
    <n v="20"/>
    <n v="2036"/>
    <n v="1790"/>
    <x v="91"/>
    <x v="0"/>
  </r>
  <r>
    <d v="2020-05-01T00:00:00"/>
    <x v="4"/>
    <n v="25792.5"/>
    <n v="2374356"/>
    <n v="19"/>
    <n v="1497"/>
    <n v="1291"/>
    <x v="92"/>
    <x v="4"/>
  </r>
  <r>
    <d v="2020-05-12T00:00:00"/>
    <x v="4"/>
    <n v="26032.5"/>
    <n v="2370432"/>
    <n v="19"/>
    <n v="1649"/>
    <n v="1460"/>
    <x v="93"/>
    <x v="1"/>
  </r>
  <r>
    <d v="2020-05-21T00:00:00"/>
    <x v="4"/>
    <n v="31707"/>
    <n v="2853181.5"/>
    <n v="19"/>
    <n v="1949"/>
    <n v="1724"/>
    <x v="94"/>
    <x v="2"/>
  </r>
  <r>
    <d v="2020-05-20T00:00:00"/>
    <x v="4"/>
    <n v="29955"/>
    <n v="2692230"/>
    <n v="19"/>
    <n v="1889"/>
    <n v="1690"/>
    <x v="95"/>
    <x v="2"/>
  </r>
  <r>
    <d v="2020-05-05T00:00:00"/>
    <x v="4"/>
    <n v="22848"/>
    <n v="2079900"/>
    <n v="19"/>
    <n v="1417"/>
    <n v="1245"/>
    <x v="96"/>
    <x v="3"/>
  </r>
  <r>
    <d v="2020-04-28T00:00:00"/>
    <x v="4"/>
    <n v="23314.5"/>
    <n v="2136817.5"/>
    <n v="17"/>
    <n v="1439"/>
    <n v="1265"/>
    <x v="97"/>
    <x v="4"/>
  </r>
  <r>
    <d v="2020-05-13T00:00:00"/>
    <x v="4"/>
    <n v="26464.5"/>
    <n v="2373337.5"/>
    <n v="19"/>
    <n v="1625"/>
    <n v="1444"/>
    <x v="98"/>
    <x v="1"/>
  </r>
  <r>
    <d v="2020-05-03T00:00:00"/>
    <x v="4"/>
    <n v="23539.5"/>
    <n v="2170309.5"/>
    <n v="19"/>
    <n v="1402"/>
    <n v="1234"/>
    <x v="99"/>
    <x v="4"/>
  </r>
  <r>
    <d v="2020-05-06T00:00:00"/>
    <x v="4"/>
    <n v="24678"/>
    <n v="2232519"/>
    <n v="19"/>
    <n v="1499"/>
    <n v="1323"/>
    <x v="100"/>
    <x v="3"/>
  </r>
  <r>
    <d v="2020-05-23T00:00:00"/>
    <x v="4"/>
    <n v="38176.5"/>
    <n v="3385372.5"/>
    <n v="20"/>
    <n v="2266"/>
    <n v="1993"/>
    <x v="101"/>
    <x v="2"/>
  </r>
  <r>
    <d v="2020-05-25T00:00:00"/>
    <x v="4"/>
    <n v="30603"/>
    <n v="2865727.5"/>
    <n v="20"/>
    <n v="2011"/>
    <n v="1791"/>
    <x v="102"/>
    <x v="0"/>
  </r>
  <r>
    <d v="2020-04-30T00:00:00"/>
    <x v="4"/>
    <n v="24211.5"/>
    <n v="2267664"/>
    <n v="19"/>
    <n v="1499"/>
    <n v="1322"/>
    <x v="103"/>
    <x v="4"/>
  </r>
  <r>
    <d v="2020-05-10T00:00:00"/>
    <x v="4"/>
    <n v="31399.5"/>
    <n v="2862298.5"/>
    <n v="19"/>
    <n v="1848"/>
    <n v="1649"/>
    <x v="104"/>
    <x v="3"/>
  </r>
  <r>
    <d v="2020-05-08T00:00:00"/>
    <x v="4"/>
    <n v="25294.5"/>
    <n v="2271454.5"/>
    <n v="19"/>
    <n v="1522"/>
    <n v="1340"/>
    <x v="105"/>
    <x v="3"/>
  </r>
  <r>
    <d v="2020-05-07T00:00:00"/>
    <x v="4"/>
    <n v="25468.5"/>
    <n v="2350672.5"/>
    <n v="19"/>
    <n v="1530"/>
    <n v="1338"/>
    <x v="106"/>
    <x v="3"/>
  </r>
  <r>
    <d v="2020-05-24T00:00:00"/>
    <x v="4"/>
    <n v="31854"/>
    <n v="2915533.5"/>
    <n v="20"/>
    <n v="2015"/>
    <n v="1803"/>
    <x v="107"/>
    <x v="2"/>
  </r>
  <r>
    <d v="2020-05-31T00:00:00"/>
    <x v="4"/>
    <n v="32359.5"/>
    <n v="2991999"/>
    <n v="20"/>
    <n v="2060"/>
    <n v="1826"/>
    <x v="108"/>
    <x v="0"/>
  </r>
  <r>
    <d v="2020-05-30T00:00:00"/>
    <x v="4"/>
    <n v="39867"/>
    <n v="3654166.5"/>
    <n v="20"/>
    <n v="2451"/>
    <n v="2178"/>
    <x v="109"/>
    <x v="0"/>
  </r>
  <r>
    <d v="2020-05-28T00:00:00"/>
    <x v="4"/>
    <n v="31974"/>
    <n v="3004213.5"/>
    <n v="20"/>
    <n v="2088"/>
    <n v="1848"/>
    <x v="110"/>
    <x v="0"/>
  </r>
  <r>
    <d v="2020-05-16T00:00:00"/>
    <x v="5"/>
    <n v="321412.5"/>
    <n v="32235864"/>
    <n v="129"/>
    <n v="17914"/>
    <n v="16631"/>
    <x v="111"/>
    <x v="1"/>
  </r>
  <r>
    <d v="2020-05-19T00:00:00"/>
    <x v="5"/>
    <n v="276568.5"/>
    <n v="27093624"/>
    <n v="129"/>
    <n v="16191"/>
    <n v="15102"/>
    <x v="112"/>
    <x v="2"/>
  </r>
  <r>
    <d v="2020-05-17T00:00:00"/>
    <x v="5"/>
    <n v="269029.5"/>
    <n v="26659930.5"/>
    <n v="129"/>
    <n v="15744"/>
    <n v="14685"/>
    <x v="113"/>
    <x v="1"/>
  </r>
  <r>
    <d v="2020-05-09T00:00:00"/>
    <x v="5"/>
    <n v="285972"/>
    <n v="29768199"/>
    <n v="129"/>
    <n v="16420"/>
    <n v="15169"/>
    <x v="114"/>
    <x v="3"/>
  </r>
  <r>
    <d v="2020-05-04T00:00:00"/>
    <x v="5"/>
    <n v="283942.5"/>
    <n v="29357940"/>
    <n v="129"/>
    <n v="16525"/>
    <n v="15310"/>
    <x v="115"/>
    <x v="3"/>
  </r>
  <r>
    <d v="2020-04-29T00:00:00"/>
    <x v="5"/>
    <n v="298059"/>
    <n v="30869287.5"/>
    <n v="128"/>
    <n v="17368"/>
    <n v="16077"/>
    <x v="116"/>
    <x v="4"/>
  </r>
  <r>
    <d v="2020-05-02T00:00:00"/>
    <x v="5"/>
    <n v="232903.5"/>
    <n v="24342016.5"/>
    <n v="129"/>
    <n v="14009"/>
    <n v="12920"/>
    <x v="117"/>
    <x v="4"/>
  </r>
  <r>
    <d v="2020-05-26T00:00:00"/>
    <x v="5"/>
    <n v="276966"/>
    <n v="27872617.898850001"/>
    <n v="129"/>
    <n v="16459"/>
    <n v="15355"/>
    <x v="118"/>
    <x v="0"/>
  </r>
  <r>
    <d v="2020-05-01T00:00:00"/>
    <x v="5"/>
    <n v="296149.5"/>
    <n v="31053316.5"/>
    <n v="129"/>
    <n v="17002"/>
    <n v="15570"/>
    <x v="119"/>
    <x v="4"/>
  </r>
  <r>
    <d v="2020-05-12T00:00:00"/>
    <x v="5"/>
    <n v="281796"/>
    <n v="29042520"/>
    <n v="129"/>
    <n v="16387"/>
    <n v="15322"/>
    <x v="120"/>
    <x v="1"/>
  </r>
  <r>
    <d v="2020-05-21T00:00:00"/>
    <x v="5"/>
    <n v="288936"/>
    <n v="27852900"/>
    <n v="129"/>
    <n v="16373"/>
    <n v="15223"/>
    <x v="121"/>
    <x v="2"/>
  </r>
  <r>
    <d v="2020-05-20T00:00:00"/>
    <x v="5"/>
    <n v="300151.5"/>
    <n v="29368771.617449999"/>
    <n v="129"/>
    <n v="17095"/>
    <n v="15919"/>
    <x v="122"/>
    <x v="2"/>
  </r>
  <r>
    <d v="2020-05-05T00:00:00"/>
    <x v="5"/>
    <n v="262734"/>
    <n v="27278441.145"/>
    <n v="129"/>
    <n v="15665"/>
    <n v="14501"/>
    <x v="123"/>
    <x v="3"/>
  </r>
  <r>
    <d v="2020-04-28T00:00:00"/>
    <x v="5"/>
    <n v="286002"/>
    <n v="29159032.5"/>
    <n v="128"/>
    <n v="16450"/>
    <n v="15320"/>
    <x v="124"/>
    <x v="4"/>
  </r>
  <r>
    <d v="2020-05-13T00:00:00"/>
    <x v="5"/>
    <n v="258459"/>
    <n v="26467453.5"/>
    <n v="129"/>
    <n v="15304"/>
    <n v="14315"/>
    <x v="125"/>
    <x v="1"/>
  </r>
  <r>
    <d v="2020-05-03T00:00:00"/>
    <x v="5"/>
    <n v="274083"/>
    <n v="28427001"/>
    <n v="129"/>
    <n v="15778"/>
    <n v="14624"/>
    <x v="126"/>
    <x v="4"/>
  </r>
  <r>
    <d v="2020-05-06T00:00:00"/>
    <x v="5"/>
    <n v="277512"/>
    <n v="28770810.105599999"/>
    <n v="129"/>
    <n v="16376"/>
    <n v="15197"/>
    <x v="127"/>
    <x v="3"/>
  </r>
  <r>
    <d v="2020-05-23T00:00:00"/>
    <x v="5"/>
    <n v="356982"/>
    <n v="35103926.711549997"/>
    <n v="129"/>
    <n v="19856"/>
    <n v="18325"/>
    <x v="128"/>
    <x v="2"/>
  </r>
  <r>
    <d v="2020-05-25T00:00:00"/>
    <x v="5"/>
    <n v="266983.5"/>
    <n v="27165913.5"/>
    <n v="129"/>
    <n v="15822"/>
    <n v="14753"/>
    <x v="129"/>
    <x v="0"/>
  </r>
  <r>
    <d v="2020-04-30T00:00:00"/>
    <x v="5"/>
    <n v="311131.5"/>
    <n v="32418879"/>
    <n v="129"/>
    <n v="18042"/>
    <n v="16631"/>
    <x v="130"/>
    <x v="4"/>
  </r>
  <r>
    <d v="2020-05-10T00:00:00"/>
    <x v="5"/>
    <n v="287206.5"/>
    <n v="29536176.10605"/>
    <n v="129"/>
    <n v="16437"/>
    <n v="15285"/>
    <x v="131"/>
    <x v="3"/>
  </r>
  <r>
    <d v="2020-05-08T00:00:00"/>
    <x v="5"/>
    <n v="370092"/>
    <n v="38091556.5"/>
    <n v="129"/>
    <n v="20452"/>
    <n v="18857"/>
    <x v="132"/>
    <x v="3"/>
  </r>
  <r>
    <d v="2020-05-07T00:00:00"/>
    <x v="5"/>
    <n v="247813.5"/>
    <n v="25325271"/>
    <n v="129"/>
    <n v="14582"/>
    <n v="13512"/>
    <x v="133"/>
    <x v="3"/>
  </r>
  <r>
    <d v="2020-05-24T00:00:00"/>
    <x v="5"/>
    <n v="287740.5"/>
    <n v="28188534"/>
    <n v="129"/>
    <n v="16432"/>
    <n v="15345"/>
    <x v="134"/>
    <x v="2"/>
  </r>
  <r>
    <d v="2020-05-16T00:00:00"/>
    <x v="6"/>
    <n v="408810"/>
    <n v="42323631"/>
    <n v="125"/>
    <n v="22291"/>
    <n v="20635"/>
    <x v="135"/>
    <x v="1"/>
  </r>
  <r>
    <d v="2020-05-19T00:00:00"/>
    <x v="6"/>
    <n v="362536.5"/>
    <n v="37023243"/>
    <n v="125"/>
    <n v="20771"/>
    <n v="19338"/>
    <x v="136"/>
    <x v="2"/>
  </r>
  <r>
    <d v="2020-05-17T00:00:00"/>
    <x v="6"/>
    <n v="357072"/>
    <n v="36834567"/>
    <n v="125"/>
    <n v="20079"/>
    <n v="18721"/>
    <x v="137"/>
    <x v="1"/>
  </r>
  <r>
    <d v="2020-05-09T00:00:00"/>
    <x v="6"/>
    <n v="359214"/>
    <n v="38693427"/>
    <n v="125"/>
    <n v="20132"/>
    <n v="18617"/>
    <x v="138"/>
    <x v="3"/>
  </r>
  <r>
    <d v="2020-05-04T00:00:00"/>
    <x v="6"/>
    <n v="360255"/>
    <n v="38406954"/>
    <n v="125"/>
    <n v="20495"/>
    <n v="18964"/>
    <x v="139"/>
    <x v="3"/>
  </r>
  <r>
    <d v="2020-04-29T00:00:00"/>
    <x v="6"/>
    <n v="387220.5"/>
    <n v="41559384"/>
    <n v="125"/>
    <n v="21863"/>
    <n v="20160"/>
    <x v="140"/>
    <x v="4"/>
  </r>
  <r>
    <d v="2020-05-02T00:00:00"/>
    <x v="6"/>
    <n v="296580"/>
    <n v="31843737"/>
    <n v="125"/>
    <n v="16932"/>
    <n v="15601"/>
    <x v="141"/>
    <x v="4"/>
  </r>
  <r>
    <d v="2020-05-26T00:00:00"/>
    <x v="6"/>
    <n v="369861"/>
    <n v="38365960.5"/>
    <n v="124"/>
    <n v="21153"/>
    <n v="19673"/>
    <x v="142"/>
    <x v="0"/>
  </r>
  <r>
    <d v="2020-05-01T00:00:00"/>
    <x v="6"/>
    <n v="372504"/>
    <n v="40077193.5"/>
    <n v="125"/>
    <n v="20602"/>
    <n v="18845"/>
    <x v="143"/>
    <x v="4"/>
  </r>
  <r>
    <d v="2020-05-12T00:00:00"/>
    <x v="6"/>
    <n v="373392"/>
    <n v="39578577"/>
    <n v="125"/>
    <n v="21106"/>
    <n v="19651"/>
    <x v="144"/>
    <x v="1"/>
  </r>
  <r>
    <d v="2020-05-21T00:00:00"/>
    <x v="6"/>
    <n v="378043.5"/>
    <n v="37902156.57"/>
    <n v="125"/>
    <n v="20911"/>
    <n v="19358"/>
    <x v="145"/>
    <x v="2"/>
  </r>
  <r>
    <d v="2020-05-20T00:00:00"/>
    <x v="6"/>
    <n v="388668"/>
    <n v="39639309"/>
    <n v="125"/>
    <n v="21674"/>
    <n v="20155"/>
    <x v="146"/>
    <x v="2"/>
  </r>
  <r>
    <d v="2020-05-05T00:00:00"/>
    <x v="6"/>
    <n v="333792"/>
    <n v="35671734"/>
    <n v="125"/>
    <n v="18944"/>
    <n v="17541"/>
    <x v="147"/>
    <x v="3"/>
  </r>
  <r>
    <d v="2020-04-28T00:00:00"/>
    <x v="6"/>
    <n v="376060.5"/>
    <n v="39918028.5"/>
    <n v="125"/>
    <n v="20914"/>
    <n v="19479"/>
    <x v="148"/>
    <x v="4"/>
  </r>
  <r>
    <d v="2020-05-13T00:00:00"/>
    <x v="6"/>
    <n v="350068.5"/>
    <n v="37197115.5"/>
    <n v="125"/>
    <n v="19965"/>
    <n v="18573"/>
    <x v="149"/>
    <x v="1"/>
  </r>
  <r>
    <d v="2020-05-31T00:00:00"/>
    <x v="5"/>
    <n v="294337.5"/>
    <n v="29327766"/>
    <n v="129"/>
    <n v="17235"/>
    <n v="16052"/>
    <x v="150"/>
    <x v="0"/>
  </r>
  <r>
    <d v="2020-05-03T00:00:00"/>
    <x v="6"/>
    <n v="342666"/>
    <n v="36631999.5"/>
    <n v="125"/>
    <n v="18861"/>
    <n v="17420"/>
    <x v="151"/>
    <x v="4"/>
  </r>
  <r>
    <d v="2020-05-30T00:00:00"/>
    <x v="5"/>
    <n v="364882.5"/>
    <n v="35724493.5"/>
    <n v="129"/>
    <n v="20243"/>
    <n v="18711"/>
    <x v="152"/>
    <x v="0"/>
  </r>
  <r>
    <d v="2020-05-06T00:00:00"/>
    <x v="6"/>
    <n v="355278"/>
    <n v="38092344"/>
    <n v="125"/>
    <n v="20218"/>
    <n v="18647"/>
    <x v="153"/>
    <x v="3"/>
  </r>
  <r>
    <d v="2020-05-23T00:00:00"/>
    <x v="6"/>
    <n v="456885"/>
    <n v="46408080"/>
    <n v="125"/>
    <n v="24574"/>
    <n v="22609"/>
    <x v="154"/>
    <x v="2"/>
  </r>
  <r>
    <d v="2020-05-28T00:00:00"/>
    <x v="5"/>
    <n v="278491.5"/>
    <n v="28151004.75"/>
    <n v="129"/>
    <n v="16453"/>
    <n v="15289"/>
    <x v="155"/>
    <x v="0"/>
  </r>
  <r>
    <d v="2020-05-25T00:00:00"/>
    <x v="6"/>
    <n v="349734"/>
    <n v="36883428"/>
    <n v="124"/>
    <n v="20358"/>
    <n v="18890"/>
    <x v="156"/>
    <x v="0"/>
  </r>
  <r>
    <d v="2020-04-30T00:00:00"/>
    <x v="6"/>
    <n v="401580"/>
    <n v="43028734.5"/>
    <n v="125"/>
    <n v="22368"/>
    <n v="20625"/>
    <x v="157"/>
    <x v="4"/>
  </r>
  <r>
    <d v="2020-05-10T00:00:00"/>
    <x v="6"/>
    <n v="368649"/>
    <n v="39010875"/>
    <n v="125"/>
    <n v="20368"/>
    <n v="18884"/>
    <x v="158"/>
    <x v="3"/>
  </r>
  <r>
    <d v="2020-05-08T00:00:00"/>
    <x v="6"/>
    <n v="463530"/>
    <n v="49123180.5"/>
    <n v="125"/>
    <n v="24620"/>
    <n v="22641"/>
    <x v="159"/>
    <x v="3"/>
  </r>
  <r>
    <d v="2020-05-07T00:00:00"/>
    <x v="6"/>
    <n v="319110"/>
    <n v="33763989"/>
    <n v="125"/>
    <n v="18014"/>
    <n v="16675"/>
    <x v="160"/>
    <x v="3"/>
  </r>
  <r>
    <d v="2020-05-24T00:00:00"/>
    <x v="6"/>
    <n v="375744"/>
    <n v="38191381.5"/>
    <n v="125"/>
    <n v="21004"/>
    <n v="19556"/>
    <x v="161"/>
    <x v="2"/>
  </r>
  <r>
    <d v="2020-05-16T00:00:00"/>
    <x v="7"/>
    <n v="81331.5"/>
    <n v="6652179"/>
    <n v="36"/>
    <n v="5286"/>
    <n v="4867"/>
    <x v="162"/>
    <x v="1"/>
  </r>
  <r>
    <d v="2020-05-19T00:00:00"/>
    <x v="7"/>
    <n v="75796.5"/>
    <n v="6173463"/>
    <n v="36"/>
    <n v="5094"/>
    <n v="4716"/>
    <x v="163"/>
    <x v="2"/>
  </r>
  <r>
    <d v="2020-05-17T00:00:00"/>
    <x v="7"/>
    <n v="72861"/>
    <n v="5952802.5"/>
    <n v="36"/>
    <n v="4918"/>
    <n v="4554"/>
    <x v="164"/>
    <x v="1"/>
  </r>
  <r>
    <d v="2020-05-09T00:00:00"/>
    <x v="7"/>
    <n v="83373"/>
    <n v="7253427"/>
    <n v="36"/>
    <n v="5413"/>
    <n v="4959"/>
    <x v="165"/>
    <x v="3"/>
  </r>
  <r>
    <d v="2020-05-04T00:00:00"/>
    <x v="7"/>
    <n v="64108.5"/>
    <n v="5561452.5"/>
    <n v="36"/>
    <n v="4508"/>
    <n v="4149"/>
    <x v="166"/>
    <x v="3"/>
  </r>
  <r>
    <d v="2020-04-29T00:00:00"/>
    <x v="7"/>
    <n v="74707.5"/>
    <n v="6454458"/>
    <n v="36"/>
    <n v="4937"/>
    <n v="4561"/>
    <x v="167"/>
    <x v="4"/>
  </r>
  <r>
    <d v="2020-05-02T00:00:00"/>
    <x v="7"/>
    <n v="46216.5"/>
    <n v="4118251.5"/>
    <n v="36"/>
    <n v="3442"/>
    <n v="3147"/>
    <x v="168"/>
    <x v="4"/>
  </r>
  <r>
    <d v="2020-05-26T00:00:00"/>
    <x v="7"/>
    <n v="67726.5"/>
    <n v="5864989.5"/>
    <n v="36"/>
    <n v="4770"/>
    <n v="4424"/>
    <x v="169"/>
    <x v="0"/>
  </r>
  <r>
    <d v="2020-05-01T00:00:00"/>
    <x v="7"/>
    <n v="82228.5"/>
    <n v="7032225"/>
    <n v="36"/>
    <n v="5457"/>
    <n v="4916"/>
    <x v="170"/>
    <x v="4"/>
  </r>
  <r>
    <d v="2020-05-12T00:00:00"/>
    <x v="7"/>
    <n v="64390.5"/>
    <n v="5523145.5"/>
    <n v="36"/>
    <n v="4418"/>
    <n v="4088"/>
    <x v="171"/>
    <x v="1"/>
  </r>
  <r>
    <d v="2020-05-21T00:00:00"/>
    <x v="7"/>
    <n v="73126.5"/>
    <n v="5864085"/>
    <n v="36"/>
    <n v="4816"/>
    <n v="4452"/>
    <x v="172"/>
    <x v="2"/>
  </r>
  <r>
    <d v="2020-05-20T00:00:00"/>
    <x v="7"/>
    <n v="99631.5"/>
    <n v="7121946"/>
    <n v="36"/>
    <n v="5914"/>
    <n v="5384"/>
    <x v="173"/>
    <x v="2"/>
  </r>
  <r>
    <d v="2020-05-05T00:00:00"/>
    <x v="7"/>
    <n v="66396"/>
    <n v="5770539"/>
    <n v="36"/>
    <n v="4575"/>
    <n v="4206"/>
    <x v="174"/>
    <x v="3"/>
  </r>
  <r>
    <d v="2020-04-28T00:00:00"/>
    <x v="7"/>
    <n v="73147.5"/>
    <n v="6288246"/>
    <n v="36"/>
    <n v="4923"/>
    <n v="4560"/>
    <x v="175"/>
    <x v="4"/>
  </r>
  <r>
    <d v="2020-05-13T00:00:00"/>
    <x v="7"/>
    <n v="73062"/>
    <n v="6333828"/>
    <n v="36"/>
    <n v="4967"/>
    <n v="4583"/>
    <x v="176"/>
    <x v="1"/>
  </r>
  <r>
    <d v="2020-05-31T00:00:00"/>
    <x v="6"/>
    <n v="379663.5"/>
    <n v="39380178"/>
    <n v="124"/>
    <n v="21392"/>
    <n v="19869"/>
    <x v="177"/>
    <x v="0"/>
  </r>
  <r>
    <d v="2020-05-03T00:00:00"/>
    <x v="7"/>
    <n v="70581"/>
    <n v="6221320.5"/>
    <n v="36"/>
    <n v="4751"/>
    <n v="4370"/>
    <x v="178"/>
    <x v="4"/>
  </r>
  <r>
    <d v="2020-05-30T00:00:00"/>
    <x v="6"/>
    <n v="453123"/>
    <n v="46370904"/>
    <n v="124"/>
    <n v="24325"/>
    <n v="22469"/>
    <x v="179"/>
    <x v="0"/>
  </r>
  <r>
    <d v="2020-05-06T00:00:00"/>
    <x v="7"/>
    <n v="63012"/>
    <n v="5454121.5"/>
    <n v="36"/>
    <n v="4384"/>
    <n v="4025"/>
    <x v="180"/>
    <x v="3"/>
  </r>
  <r>
    <d v="2020-05-23T00:00:00"/>
    <x v="7"/>
    <n v="89556"/>
    <n v="7173117"/>
    <n v="36"/>
    <n v="5651"/>
    <n v="5212"/>
    <x v="181"/>
    <x v="2"/>
  </r>
  <r>
    <d v="2020-05-28T00:00:00"/>
    <x v="6"/>
    <n v="364638"/>
    <n v="37947688.5"/>
    <n v="124"/>
    <n v="20868"/>
    <n v="19342"/>
    <x v="182"/>
    <x v="0"/>
  </r>
  <r>
    <d v="2020-05-25T00:00:00"/>
    <x v="7"/>
    <n v="66316.5"/>
    <n v="5704650"/>
    <n v="36"/>
    <n v="4641"/>
    <n v="4274"/>
    <x v="183"/>
    <x v="0"/>
  </r>
  <r>
    <d v="2020-04-30T00:00:00"/>
    <x v="7"/>
    <n v="78235.5"/>
    <n v="6819594"/>
    <n v="36"/>
    <n v="5143"/>
    <n v="4715"/>
    <x v="184"/>
    <x v="4"/>
  </r>
  <r>
    <d v="2020-05-10T00:00:00"/>
    <x v="7"/>
    <n v="88311"/>
    <n v="7726069.5"/>
    <n v="36"/>
    <n v="5746"/>
    <n v="5277"/>
    <x v="185"/>
    <x v="3"/>
  </r>
  <r>
    <d v="2020-05-08T00:00:00"/>
    <x v="7"/>
    <n v="61804.5"/>
    <n v="5365708.5"/>
    <n v="36"/>
    <n v="4199"/>
    <n v="3867"/>
    <x v="186"/>
    <x v="3"/>
  </r>
  <r>
    <d v="2020-05-07T00:00:00"/>
    <x v="7"/>
    <n v="71067"/>
    <n v="6175837.5"/>
    <n v="36"/>
    <n v="4826"/>
    <n v="4426"/>
    <x v="187"/>
    <x v="3"/>
  </r>
  <r>
    <d v="2020-05-24T00:00:00"/>
    <x v="7"/>
    <n v="74649"/>
    <n v="6098236.5"/>
    <n v="36"/>
    <n v="4915"/>
    <n v="4562"/>
    <x v="188"/>
    <x v="2"/>
  </r>
  <r>
    <d v="2020-05-16T00:00:00"/>
    <x v="8"/>
    <n v="44560.5"/>
    <n v="4025148"/>
    <n v="21"/>
    <n v="2427"/>
    <n v="2213"/>
    <x v="189"/>
    <x v="1"/>
  </r>
  <r>
    <d v="2020-05-19T00:00:00"/>
    <x v="8"/>
    <n v="38250"/>
    <n v="3552937.5"/>
    <n v="21"/>
    <n v="2245"/>
    <n v="2053"/>
    <x v="190"/>
    <x v="2"/>
  </r>
  <r>
    <d v="2020-05-17T00:00:00"/>
    <x v="8"/>
    <n v="34830"/>
    <n v="3191155.5"/>
    <n v="21"/>
    <n v="2054"/>
    <n v="1883"/>
    <x v="191"/>
    <x v="1"/>
  </r>
  <r>
    <d v="2020-05-09T00:00:00"/>
    <x v="8"/>
    <n v="32239.5"/>
    <n v="3084892.5"/>
    <n v="21"/>
    <n v="1891"/>
    <n v="1709"/>
    <x v="192"/>
    <x v="3"/>
  </r>
  <r>
    <d v="2020-05-04T00:00:00"/>
    <x v="8"/>
    <n v="30780"/>
    <n v="2817853.5"/>
    <n v="20"/>
    <n v="1804"/>
    <n v="1638"/>
    <x v="193"/>
    <x v="3"/>
  </r>
  <r>
    <d v="2020-04-29T00:00:00"/>
    <x v="8"/>
    <n v="29142"/>
    <n v="2627595"/>
    <n v="19"/>
    <n v="1676"/>
    <n v="1516"/>
    <x v="194"/>
    <x v="4"/>
  </r>
  <r>
    <d v="2020-05-02T00:00:00"/>
    <x v="8"/>
    <n v="26428.5"/>
    <n v="2470465.5"/>
    <n v="20"/>
    <n v="1613"/>
    <n v="1457"/>
    <x v="195"/>
    <x v="4"/>
  </r>
  <r>
    <d v="2020-05-26T00:00:00"/>
    <x v="8"/>
    <n v="40744.5"/>
    <n v="3700311"/>
    <n v="21"/>
    <n v="2418"/>
    <n v="2215"/>
    <x v="196"/>
    <x v="0"/>
  </r>
  <r>
    <d v="2020-05-01T00:00:00"/>
    <x v="8"/>
    <n v="46620"/>
    <n v="4293241.5"/>
    <n v="20"/>
    <n v="2468"/>
    <n v="2221"/>
    <x v="197"/>
    <x v="4"/>
  </r>
  <r>
    <d v="2020-05-12T00:00:00"/>
    <x v="8"/>
    <n v="32419.5"/>
    <n v="3080614.5"/>
    <n v="21"/>
    <n v="1926"/>
    <n v="1745"/>
    <x v="198"/>
    <x v="1"/>
  </r>
  <r>
    <d v="2020-05-21T00:00:00"/>
    <x v="8"/>
    <n v="40819.5"/>
    <n v="3810394.5"/>
    <n v="21"/>
    <n v="2335"/>
    <n v="2126"/>
    <x v="199"/>
    <x v="2"/>
  </r>
  <r>
    <d v="2020-05-20T00:00:00"/>
    <x v="8"/>
    <n v="41391"/>
    <n v="3918987"/>
    <n v="21"/>
    <n v="2410"/>
    <n v="2202"/>
    <x v="200"/>
    <x v="2"/>
  </r>
  <r>
    <d v="2020-05-05T00:00:00"/>
    <x v="8"/>
    <n v="29482.5"/>
    <n v="2648688"/>
    <n v="20"/>
    <n v="1757"/>
    <n v="1596"/>
    <x v="201"/>
    <x v="3"/>
  </r>
  <r>
    <d v="2020-04-28T00:00:00"/>
    <x v="8"/>
    <n v="32181"/>
    <n v="2863600.5"/>
    <n v="19"/>
    <n v="1846"/>
    <n v="1681"/>
    <x v="202"/>
    <x v="4"/>
  </r>
  <r>
    <d v="2020-05-13T00:00:00"/>
    <x v="8"/>
    <n v="35535"/>
    <n v="3288069"/>
    <n v="21"/>
    <n v="2061"/>
    <n v="1876"/>
    <x v="203"/>
    <x v="1"/>
  </r>
  <r>
    <d v="2020-05-31T00:00:00"/>
    <x v="7"/>
    <n v="76234.5"/>
    <n v="6500848.5"/>
    <n v="37"/>
    <n v="5215"/>
    <n v="4848"/>
    <x v="204"/>
    <x v="0"/>
  </r>
  <r>
    <d v="2020-05-03T00:00:00"/>
    <x v="8"/>
    <n v="29935.5"/>
    <n v="2720002.5"/>
    <n v="20"/>
    <n v="1716"/>
    <n v="1561"/>
    <x v="205"/>
    <x v="4"/>
  </r>
  <r>
    <d v="2020-05-30T00:00:00"/>
    <x v="7"/>
    <n v="106926"/>
    <n v="9098386.5"/>
    <n v="37"/>
    <n v="6645"/>
    <n v="6122"/>
    <x v="206"/>
    <x v="0"/>
  </r>
  <r>
    <d v="2020-05-06T00:00:00"/>
    <x v="8"/>
    <n v="30342"/>
    <n v="2738127"/>
    <n v="20"/>
    <n v="1747"/>
    <n v="1570"/>
    <x v="207"/>
    <x v="3"/>
  </r>
  <r>
    <d v="2020-05-23T00:00:00"/>
    <x v="8"/>
    <n v="42999"/>
    <n v="3883215"/>
    <n v="21"/>
    <n v="2460"/>
    <n v="2226"/>
    <x v="208"/>
    <x v="2"/>
  </r>
  <r>
    <d v="2020-05-28T00:00:00"/>
    <x v="7"/>
    <n v="69945"/>
    <n v="6101931"/>
    <n v="37"/>
    <n v="4840"/>
    <n v="4475"/>
    <x v="209"/>
    <x v="0"/>
  </r>
  <r>
    <d v="2020-05-25T00:00:00"/>
    <x v="8"/>
    <n v="38740.5"/>
    <n v="3561655.5"/>
    <n v="21"/>
    <n v="2330"/>
    <n v="2142"/>
    <x v="210"/>
    <x v="0"/>
  </r>
  <r>
    <d v="2020-04-30T00:00:00"/>
    <x v="8"/>
    <n v="31231.5"/>
    <n v="2853310.5"/>
    <n v="20"/>
    <n v="1756"/>
    <n v="1586"/>
    <x v="211"/>
    <x v="4"/>
  </r>
  <r>
    <d v="2020-05-10T00:00:00"/>
    <x v="8"/>
    <n v="37489.5"/>
    <n v="3549097.5"/>
    <n v="21"/>
    <n v="2120"/>
    <n v="1921"/>
    <x v="212"/>
    <x v="3"/>
  </r>
  <r>
    <d v="2020-05-08T00:00:00"/>
    <x v="8"/>
    <n v="34399.5"/>
    <n v="3201358.5"/>
    <n v="21"/>
    <n v="1957"/>
    <n v="1755"/>
    <x v="213"/>
    <x v="3"/>
  </r>
  <r>
    <d v="2020-05-07T00:00:00"/>
    <x v="8"/>
    <n v="32851.5"/>
    <n v="2934504"/>
    <n v="21"/>
    <n v="1879"/>
    <n v="1695"/>
    <x v="214"/>
    <x v="3"/>
  </r>
  <r>
    <d v="2020-05-24T00:00:00"/>
    <x v="8"/>
    <n v="38194.5"/>
    <n v="3449302.5"/>
    <n v="21"/>
    <n v="2254"/>
    <n v="2061"/>
    <x v="215"/>
    <x v="2"/>
  </r>
  <r>
    <d v="2020-05-31T00:00:00"/>
    <x v="8"/>
    <n v="42423"/>
    <n v="3994153.5"/>
    <n v="23"/>
    <n v="2522"/>
    <n v="2295"/>
    <x v="216"/>
    <x v="0"/>
  </r>
  <r>
    <d v="2020-05-30T00:00:00"/>
    <x v="8"/>
    <n v="48286.5"/>
    <n v="4456441.5"/>
    <n v="22"/>
    <n v="2793"/>
    <n v="2539"/>
    <x v="217"/>
    <x v="0"/>
  </r>
  <r>
    <d v="2020-05-28T00:00:00"/>
    <x v="8"/>
    <n v="41442"/>
    <n v="3893680.5"/>
    <n v="22"/>
    <n v="2454"/>
    <n v="2239"/>
    <x v="218"/>
    <x v="0"/>
  </r>
  <r>
    <d v="2020-05-16T00:00:00"/>
    <x v="9"/>
    <n v="18600"/>
    <n v="1601425.5"/>
    <n v="15"/>
    <n v="1111"/>
    <n v="992"/>
    <x v="219"/>
    <x v="1"/>
  </r>
  <r>
    <d v="2020-05-19T00:00:00"/>
    <x v="9"/>
    <n v="16638"/>
    <n v="1364847"/>
    <n v="16"/>
    <n v="1012"/>
    <n v="900"/>
    <x v="220"/>
    <x v="2"/>
  </r>
  <r>
    <d v="2020-05-17T00:00:00"/>
    <x v="9"/>
    <n v="15609"/>
    <n v="1377577.5"/>
    <n v="15"/>
    <n v="971"/>
    <n v="856"/>
    <x v="221"/>
    <x v="1"/>
  </r>
  <r>
    <d v="2020-05-09T00:00:00"/>
    <x v="9"/>
    <n v="13948.5"/>
    <n v="1222932"/>
    <n v="15"/>
    <n v="849"/>
    <n v="740"/>
    <x v="222"/>
    <x v="3"/>
  </r>
  <r>
    <d v="2020-05-04T00:00:00"/>
    <x v="9"/>
    <n v="12301.5"/>
    <n v="1085211"/>
    <n v="15"/>
    <n v="750"/>
    <n v="647"/>
    <x v="223"/>
    <x v="3"/>
  </r>
  <r>
    <d v="2020-04-29T00:00:00"/>
    <x v="9"/>
    <n v="13014"/>
    <n v="1115992.5"/>
    <n v="15"/>
    <n v="786"/>
    <n v="695"/>
    <x v="224"/>
    <x v="4"/>
  </r>
  <r>
    <d v="2020-05-02T00:00:00"/>
    <x v="9"/>
    <n v="12313.5"/>
    <n v="1053220.5"/>
    <n v="15"/>
    <n v="751"/>
    <n v="651"/>
    <x v="225"/>
    <x v="4"/>
  </r>
  <r>
    <d v="2020-05-26T00:00:00"/>
    <x v="9"/>
    <n v="17391"/>
    <n v="1489132.5"/>
    <n v="17"/>
    <n v="1140"/>
    <n v="1016"/>
    <x v="226"/>
    <x v="0"/>
  </r>
  <r>
    <d v="2020-05-01T00:00:00"/>
    <x v="9"/>
    <n v="17113.5"/>
    <n v="1465842"/>
    <n v="15"/>
    <n v="996"/>
    <n v="888"/>
    <x v="227"/>
    <x v="4"/>
  </r>
  <r>
    <d v="2020-05-12T00:00:00"/>
    <x v="9"/>
    <n v="12802.5"/>
    <n v="1123830"/>
    <n v="15"/>
    <n v="845"/>
    <n v="743"/>
    <x v="228"/>
    <x v="1"/>
  </r>
  <r>
    <d v="2020-05-21T00:00:00"/>
    <x v="9"/>
    <n v="16554"/>
    <n v="1380751.5"/>
    <n v="17"/>
    <n v="1045"/>
    <n v="930"/>
    <x v="229"/>
    <x v="2"/>
  </r>
  <r>
    <d v="2020-05-20T00:00:00"/>
    <x v="9"/>
    <n v="17329.5"/>
    <n v="1430254.5"/>
    <n v="16"/>
    <n v="1050"/>
    <n v="938"/>
    <x v="230"/>
    <x v="2"/>
  </r>
  <r>
    <d v="2020-05-05T00:00:00"/>
    <x v="9"/>
    <n v="15987"/>
    <n v="1384179"/>
    <n v="15"/>
    <n v="922"/>
    <n v="823"/>
    <x v="231"/>
    <x v="3"/>
  </r>
  <r>
    <d v="2020-04-28T00:00:00"/>
    <x v="9"/>
    <n v="13303.5"/>
    <n v="1102887"/>
    <n v="15"/>
    <n v="780"/>
    <n v="690"/>
    <x v="232"/>
    <x v="4"/>
  </r>
  <r>
    <d v="2020-05-13T00:00:00"/>
    <x v="9"/>
    <n v="14305.5"/>
    <n v="1243507.5"/>
    <n v="15"/>
    <n v="898"/>
    <n v="795"/>
    <x v="233"/>
    <x v="1"/>
  </r>
  <r>
    <d v="2020-05-03T00:00:00"/>
    <x v="9"/>
    <n v="12924"/>
    <n v="1120009.5"/>
    <n v="15"/>
    <n v="784"/>
    <n v="696"/>
    <x v="234"/>
    <x v="4"/>
  </r>
  <r>
    <d v="2020-05-06T00:00:00"/>
    <x v="9"/>
    <n v="14061"/>
    <n v="1221057"/>
    <n v="15"/>
    <n v="839"/>
    <n v="733"/>
    <x v="235"/>
    <x v="3"/>
  </r>
  <r>
    <d v="2020-05-23T00:00:00"/>
    <x v="9"/>
    <n v="21958.5"/>
    <n v="1854001.5"/>
    <n v="17"/>
    <n v="1294"/>
    <n v="1155"/>
    <x v="236"/>
    <x v="2"/>
  </r>
  <r>
    <d v="2020-05-25T00:00:00"/>
    <x v="9"/>
    <n v="17211"/>
    <n v="1507867.5"/>
    <n v="17"/>
    <n v="1142"/>
    <n v="1020"/>
    <x v="237"/>
    <x v="0"/>
  </r>
  <r>
    <d v="2020-04-30T00:00:00"/>
    <x v="9"/>
    <n v="12753"/>
    <n v="1103068.5"/>
    <n v="15"/>
    <n v="791"/>
    <n v="691"/>
    <x v="238"/>
    <x v="4"/>
  </r>
  <r>
    <d v="2020-05-10T00:00:00"/>
    <x v="9"/>
    <n v="16435.5"/>
    <n v="1471537.5"/>
    <n v="15"/>
    <n v="950"/>
    <n v="848"/>
    <x v="239"/>
    <x v="3"/>
  </r>
  <r>
    <d v="2020-05-08T00:00:00"/>
    <x v="9"/>
    <n v="14494.5"/>
    <n v="1269786"/>
    <n v="15"/>
    <n v="879"/>
    <n v="768"/>
    <x v="240"/>
    <x v="3"/>
  </r>
  <r>
    <d v="2020-05-07T00:00:00"/>
    <x v="9"/>
    <n v="12705"/>
    <n v="1123894.5"/>
    <n v="15"/>
    <n v="805"/>
    <n v="703"/>
    <x v="241"/>
    <x v="3"/>
  </r>
  <r>
    <d v="2020-05-24T00:00:00"/>
    <x v="9"/>
    <n v="18075"/>
    <n v="1548099"/>
    <n v="17"/>
    <n v="1128"/>
    <n v="1001"/>
    <x v="242"/>
    <x v="2"/>
  </r>
  <r>
    <d v="2020-05-16T00:00:00"/>
    <x v="10"/>
    <n v="13120.5"/>
    <n v="1215033"/>
    <n v="15"/>
    <n v="747"/>
    <n v="647"/>
    <x v="243"/>
    <x v="1"/>
  </r>
  <r>
    <d v="2020-05-19T00:00:00"/>
    <x v="10"/>
    <n v="16237.5"/>
    <n v="1403047.5"/>
    <n v="15"/>
    <n v="930"/>
    <n v="827"/>
    <x v="244"/>
    <x v="2"/>
  </r>
  <r>
    <d v="2020-05-17T00:00:00"/>
    <x v="10"/>
    <n v="11967"/>
    <n v="1060489.5"/>
    <n v="15"/>
    <n v="692"/>
    <n v="591"/>
    <x v="245"/>
    <x v="1"/>
  </r>
  <r>
    <d v="2020-05-09T00:00:00"/>
    <x v="10"/>
    <n v="12037.5"/>
    <n v="1081216.5"/>
    <n v="15"/>
    <n v="623"/>
    <n v="535"/>
    <x v="246"/>
    <x v="3"/>
  </r>
  <r>
    <d v="2020-05-04T00:00:00"/>
    <x v="10"/>
    <n v="7087.5"/>
    <n v="610855.5"/>
    <n v="15"/>
    <n v="390"/>
    <n v="315"/>
    <x v="247"/>
    <x v="3"/>
  </r>
  <r>
    <d v="2020-04-29T00:00:00"/>
    <x v="11"/>
    <n v="25816.5"/>
    <n v="2360914.5"/>
    <n v="18"/>
    <n v="1599"/>
    <n v="1450"/>
    <x v="248"/>
    <x v="4"/>
  </r>
  <r>
    <d v="2020-05-02T00:00:00"/>
    <x v="10"/>
    <n v="4624.5"/>
    <n v="433243.5"/>
    <n v="15"/>
    <n v="274"/>
    <n v="203"/>
    <x v="249"/>
    <x v="4"/>
  </r>
  <r>
    <d v="2020-05-26T00:00:00"/>
    <x v="10"/>
    <n v="12259.5"/>
    <n v="1152054"/>
    <n v="15"/>
    <n v="812"/>
    <n v="711"/>
    <x v="250"/>
    <x v="0"/>
  </r>
  <r>
    <d v="2020-05-01T00:00:00"/>
    <x v="10"/>
    <n v="5446.5"/>
    <n v="505572"/>
    <n v="15"/>
    <n v="294"/>
    <n v="225"/>
    <x v="251"/>
    <x v="4"/>
  </r>
  <r>
    <d v="2020-05-12T00:00:00"/>
    <x v="10"/>
    <n v="11296.5"/>
    <n v="989632.5"/>
    <n v="15"/>
    <n v="624"/>
    <n v="538"/>
    <x v="252"/>
    <x v="1"/>
  </r>
  <r>
    <d v="2020-05-21T00:00:00"/>
    <x v="10"/>
    <n v="12135"/>
    <n v="1103623.5"/>
    <n v="15"/>
    <n v="749"/>
    <n v="652"/>
    <x v="253"/>
    <x v="2"/>
  </r>
  <r>
    <d v="2020-05-20T00:00:00"/>
    <x v="10"/>
    <n v="12630"/>
    <n v="1104858"/>
    <n v="15"/>
    <n v="760"/>
    <n v="664"/>
    <x v="254"/>
    <x v="2"/>
  </r>
  <r>
    <d v="2020-05-05T00:00:00"/>
    <x v="10"/>
    <n v="8223"/>
    <n v="694593"/>
    <n v="15"/>
    <n v="455"/>
    <n v="381"/>
    <x v="255"/>
    <x v="3"/>
  </r>
  <r>
    <d v="2020-04-28T00:00:00"/>
    <x v="11"/>
    <n v="25149"/>
    <n v="2277072"/>
    <n v="18"/>
    <n v="1505"/>
    <n v="1368"/>
    <x v="256"/>
    <x v="4"/>
  </r>
  <r>
    <d v="2020-05-13T00:00:00"/>
    <x v="10"/>
    <n v="10401"/>
    <n v="949912.5"/>
    <n v="15"/>
    <n v="599"/>
    <n v="515"/>
    <x v="257"/>
    <x v="1"/>
  </r>
  <r>
    <d v="2020-05-31T00:00:00"/>
    <x v="9"/>
    <n v="17689.5"/>
    <n v="1592119.5"/>
    <n v="17"/>
    <n v="1186"/>
    <n v="1054"/>
    <x v="258"/>
    <x v="0"/>
  </r>
  <r>
    <d v="2020-05-03T00:00:00"/>
    <x v="10"/>
    <n v="8127"/>
    <n v="665302.5"/>
    <n v="15"/>
    <n v="455"/>
    <n v="384"/>
    <x v="259"/>
    <x v="4"/>
  </r>
  <r>
    <d v="2020-05-30T00:00:00"/>
    <x v="9"/>
    <n v="27250.5"/>
    <n v="2457252"/>
    <n v="17"/>
    <n v="1697"/>
    <n v="1499"/>
    <x v="260"/>
    <x v="0"/>
  </r>
  <r>
    <d v="2020-05-06T00:00:00"/>
    <x v="10"/>
    <n v="8464.5"/>
    <n v="739291.5"/>
    <n v="15"/>
    <n v="467"/>
    <n v="389"/>
    <x v="261"/>
    <x v="3"/>
  </r>
  <r>
    <d v="2020-05-23T00:00:00"/>
    <x v="10"/>
    <n v="14167.5"/>
    <n v="1315075.5"/>
    <n v="15"/>
    <n v="840"/>
    <n v="725"/>
    <x v="262"/>
    <x v="2"/>
  </r>
  <r>
    <d v="2020-05-28T00:00:00"/>
    <x v="9"/>
    <n v="16500"/>
    <n v="1487928"/>
    <n v="17"/>
    <n v="1097"/>
    <n v="968"/>
    <x v="263"/>
    <x v="0"/>
  </r>
  <r>
    <d v="2020-05-25T00:00:00"/>
    <x v="10"/>
    <n v="13260"/>
    <n v="1230687"/>
    <n v="15"/>
    <n v="835"/>
    <n v="736"/>
    <x v="264"/>
    <x v="0"/>
  </r>
  <r>
    <d v="2020-04-30T00:00:00"/>
    <x v="10"/>
    <n v="4285.5"/>
    <n v="404691"/>
    <n v="15"/>
    <n v="262"/>
    <n v="195"/>
    <x v="265"/>
    <x v="4"/>
  </r>
  <r>
    <d v="2020-05-10T00:00:00"/>
    <x v="10"/>
    <n v="13440"/>
    <n v="1198285.5"/>
    <n v="15"/>
    <n v="706"/>
    <n v="608"/>
    <x v="266"/>
    <x v="3"/>
  </r>
  <r>
    <d v="2020-05-08T00:00:00"/>
    <x v="10"/>
    <n v="9058.5"/>
    <n v="798759"/>
    <n v="15"/>
    <n v="492"/>
    <n v="412"/>
    <x v="267"/>
    <x v="3"/>
  </r>
  <r>
    <d v="2020-05-07T00:00:00"/>
    <x v="10"/>
    <n v="8719.5"/>
    <n v="769276.5"/>
    <n v="15"/>
    <n v="480"/>
    <n v="398"/>
    <x v="268"/>
    <x v="3"/>
  </r>
  <r>
    <d v="2020-05-24T00:00:00"/>
    <x v="10"/>
    <n v="12666"/>
    <n v="1184865"/>
    <n v="15"/>
    <n v="779"/>
    <n v="673"/>
    <x v="269"/>
    <x v="2"/>
  </r>
  <r>
    <d v="2020-05-16T00:00:00"/>
    <x v="11"/>
    <n v="34563"/>
    <n v="2922883.5"/>
    <n v="19"/>
    <n v="2039"/>
    <n v="1868"/>
    <x v="270"/>
    <x v="1"/>
  </r>
  <r>
    <d v="2020-05-19T00:00:00"/>
    <x v="11"/>
    <n v="28882.5"/>
    <n v="2446530"/>
    <n v="19"/>
    <n v="1831"/>
    <n v="1667"/>
    <x v="271"/>
    <x v="2"/>
  </r>
  <r>
    <d v="2020-05-17T00:00:00"/>
    <x v="11"/>
    <n v="28275"/>
    <n v="2435632.5"/>
    <n v="19"/>
    <n v="1790"/>
    <n v="1633"/>
    <x v="272"/>
    <x v="1"/>
  </r>
  <r>
    <d v="2020-05-09T00:00:00"/>
    <x v="11"/>
    <n v="26271"/>
    <n v="2384937"/>
    <n v="19"/>
    <n v="1542"/>
    <n v="1412"/>
    <x v="273"/>
    <x v="3"/>
  </r>
  <r>
    <d v="2020-05-04T00:00:00"/>
    <x v="11"/>
    <n v="23587.5"/>
    <n v="2155668"/>
    <n v="19"/>
    <n v="1479"/>
    <n v="1346"/>
    <x v="274"/>
    <x v="3"/>
  </r>
  <r>
    <d v="2020-05-02T00:00:00"/>
    <x v="11"/>
    <n v="18427.5"/>
    <n v="1682851.5"/>
    <n v="19"/>
    <n v="1206"/>
    <n v="1080"/>
    <x v="275"/>
    <x v="4"/>
  </r>
  <r>
    <d v="2020-05-26T00:00:00"/>
    <x v="11"/>
    <n v="27156"/>
    <n v="2410803"/>
    <n v="20"/>
    <n v="1814"/>
    <n v="1655"/>
    <x v="276"/>
    <x v="0"/>
  </r>
  <r>
    <d v="2020-05-01T00:00:00"/>
    <x v="11"/>
    <n v="35190"/>
    <n v="3168510"/>
    <n v="19"/>
    <n v="1987"/>
    <n v="1791"/>
    <x v="277"/>
    <x v="4"/>
  </r>
  <r>
    <d v="2020-05-12T00:00:00"/>
    <x v="11"/>
    <n v="25483.5"/>
    <n v="2243160"/>
    <n v="19"/>
    <n v="1598"/>
    <n v="1454"/>
    <x v="278"/>
    <x v="1"/>
  </r>
  <r>
    <d v="2020-05-21T00:00:00"/>
    <x v="11"/>
    <n v="25362"/>
    <n v="2198935.5"/>
    <n v="19"/>
    <n v="1650"/>
    <n v="1505"/>
    <x v="279"/>
    <x v="2"/>
  </r>
  <r>
    <d v="2020-05-20T00:00:00"/>
    <x v="11"/>
    <n v="28849.5"/>
    <n v="2520759"/>
    <n v="19"/>
    <n v="1823"/>
    <n v="1678"/>
    <x v="280"/>
    <x v="2"/>
  </r>
  <r>
    <d v="2020-05-05T00:00:00"/>
    <x v="11"/>
    <n v="26367"/>
    <n v="2380333.5"/>
    <n v="19"/>
    <n v="1622"/>
    <n v="1482"/>
    <x v="281"/>
    <x v="3"/>
  </r>
  <r>
    <d v="2020-05-13T00:00:00"/>
    <x v="11"/>
    <n v="25539"/>
    <n v="2263651.5"/>
    <n v="19"/>
    <n v="1605"/>
    <n v="1447"/>
    <x v="282"/>
    <x v="1"/>
  </r>
  <r>
    <d v="2020-05-31T00:00:00"/>
    <x v="10"/>
    <n v="14808"/>
    <n v="1336789.5"/>
    <n v="16"/>
    <n v="917"/>
    <n v="802"/>
    <x v="283"/>
    <x v="0"/>
  </r>
  <r>
    <d v="2020-05-03T00:00:00"/>
    <x v="11"/>
    <n v="21343.5"/>
    <n v="1906557"/>
    <n v="19"/>
    <n v="1314"/>
    <n v="1192"/>
    <x v="284"/>
    <x v="4"/>
  </r>
  <r>
    <d v="2020-05-30T00:00:00"/>
    <x v="10"/>
    <n v="17946"/>
    <n v="1609090.5"/>
    <n v="16"/>
    <n v="1048"/>
    <n v="918"/>
    <x v="285"/>
    <x v="0"/>
  </r>
  <r>
    <d v="2020-05-06T00:00:00"/>
    <x v="11"/>
    <n v="24337.5"/>
    <n v="2159350.5"/>
    <n v="19"/>
    <n v="1509"/>
    <n v="1374"/>
    <x v="286"/>
    <x v="3"/>
  </r>
  <r>
    <d v="2020-05-23T00:00:00"/>
    <x v="11"/>
    <n v="36997.5"/>
    <n v="3089140.5"/>
    <n v="19"/>
    <n v="2195"/>
    <n v="1999"/>
    <x v="287"/>
    <x v="2"/>
  </r>
  <r>
    <d v="2020-05-28T00:00:00"/>
    <x v="10"/>
    <n v="13864.5"/>
    <n v="1239747"/>
    <n v="16"/>
    <n v="876"/>
    <n v="762"/>
    <x v="288"/>
    <x v="0"/>
  </r>
  <r>
    <d v="2020-05-25T00:00:00"/>
    <x v="11"/>
    <n v="28494"/>
    <n v="2512803"/>
    <n v="20"/>
    <n v="1899"/>
    <n v="1738"/>
    <x v="289"/>
    <x v="0"/>
  </r>
  <r>
    <d v="2020-04-30T00:00:00"/>
    <x v="11"/>
    <n v="27883.5"/>
    <n v="2560080"/>
    <n v="19"/>
    <n v="1662"/>
    <n v="1506"/>
    <x v="290"/>
    <x v="4"/>
  </r>
  <r>
    <d v="2020-05-10T00:00:00"/>
    <x v="11"/>
    <n v="31224"/>
    <n v="2767270.5"/>
    <n v="19"/>
    <n v="1836"/>
    <n v="1680"/>
    <x v="291"/>
    <x v="3"/>
  </r>
  <r>
    <d v="2020-05-08T00:00:00"/>
    <x v="11"/>
    <n v="25020"/>
    <n v="2235960"/>
    <n v="19"/>
    <n v="1520"/>
    <n v="1380"/>
    <x v="292"/>
    <x v="3"/>
  </r>
  <r>
    <d v="2020-05-07T00:00:00"/>
    <x v="11"/>
    <n v="26184"/>
    <n v="2308336.5"/>
    <n v="19"/>
    <n v="1580"/>
    <n v="1435"/>
    <x v="293"/>
    <x v="3"/>
  </r>
  <r>
    <d v="2020-05-24T00:00:00"/>
    <x v="11"/>
    <n v="29824.5"/>
    <n v="2526909"/>
    <n v="19"/>
    <n v="1868"/>
    <n v="1706"/>
    <x v="294"/>
    <x v="2"/>
  </r>
  <r>
    <d v="2020-04-29T00:00:00"/>
    <x v="12"/>
    <n v="208351.5"/>
    <n v="21615333"/>
    <n v="59"/>
    <n v="13186"/>
    <n v="12251"/>
    <x v="295"/>
    <x v="4"/>
  </r>
  <r>
    <d v="2020-04-28T00:00:00"/>
    <x v="12"/>
    <n v="204637.5"/>
    <n v="21114898.5"/>
    <n v="59"/>
    <n v="12943"/>
    <n v="12072"/>
    <x v="296"/>
    <x v="4"/>
  </r>
  <r>
    <d v="2020-05-31T00:00:00"/>
    <x v="11"/>
    <n v="31372.5"/>
    <n v="2794324.5"/>
    <n v="21"/>
    <n v="2056"/>
    <n v="1879"/>
    <x v="297"/>
    <x v="0"/>
  </r>
  <r>
    <d v="2020-05-30T00:00:00"/>
    <x v="11"/>
    <n v="34681.5"/>
    <n v="3005334"/>
    <n v="20"/>
    <n v="2174"/>
    <n v="1957"/>
    <x v="298"/>
    <x v="0"/>
  </r>
  <r>
    <d v="2020-05-28T00:00:00"/>
    <x v="11"/>
    <n v="28197"/>
    <n v="2559211.5"/>
    <n v="20"/>
    <n v="1875"/>
    <n v="1701"/>
    <x v="299"/>
    <x v="0"/>
  </r>
  <r>
    <d v="2020-05-16T00:00:00"/>
    <x v="12"/>
    <n v="236551.5"/>
    <n v="23689383"/>
    <n v="60"/>
    <n v="14049"/>
    <n v="13118"/>
    <x v="300"/>
    <x v="1"/>
  </r>
  <r>
    <d v="2020-05-19T00:00:00"/>
    <x v="12"/>
    <n v="223597.5"/>
    <n v="21945858"/>
    <n v="60"/>
    <n v="13867"/>
    <n v="12987"/>
    <x v="301"/>
    <x v="2"/>
  </r>
  <r>
    <d v="2020-05-17T00:00:00"/>
    <x v="12"/>
    <n v="193363.5"/>
    <n v="19546386"/>
    <n v="60"/>
    <n v="11698"/>
    <n v="10989"/>
    <x v="302"/>
    <x v="1"/>
  </r>
  <r>
    <d v="2020-05-09T00:00:00"/>
    <x v="12"/>
    <n v="188319"/>
    <n v="19218631.5"/>
    <n v="59"/>
    <n v="12016"/>
    <n v="11137"/>
    <x v="303"/>
    <x v="3"/>
  </r>
  <r>
    <d v="2020-05-04T00:00:00"/>
    <x v="12"/>
    <n v="237544.5"/>
    <n v="24292218"/>
    <n v="59"/>
    <n v="14423"/>
    <n v="13432"/>
    <x v="304"/>
    <x v="3"/>
  </r>
  <r>
    <d v="2020-04-29T00:00:00"/>
    <x v="13"/>
    <n v="203209.5"/>
    <n v="20871391.5"/>
    <n v="54"/>
    <n v="12747"/>
    <n v="11884"/>
    <x v="305"/>
    <x v="4"/>
  </r>
  <r>
    <d v="2020-05-02T00:00:00"/>
    <x v="12"/>
    <n v="185979"/>
    <n v="19625364"/>
    <n v="59"/>
    <n v="12429"/>
    <n v="11477"/>
    <x v="306"/>
    <x v="4"/>
  </r>
  <r>
    <d v="2020-05-26T00:00:00"/>
    <x v="12"/>
    <n v="244905"/>
    <n v="25163431.5"/>
    <n v="59"/>
    <n v="15369"/>
    <n v="14299"/>
    <x v="307"/>
    <x v="0"/>
  </r>
  <r>
    <d v="2020-05-01T00:00:00"/>
    <x v="12"/>
    <n v="239409"/>
    <n v="25413351"/>
    <n v="59"/>
    <n v="15222"/>
    <n v="13873"/>
    <x v="308"/>
    <x v="4"/>
  </r>
  <r>
    <d v="2020-05-12T00:00:00"/>
    <x v="12"/>
    <n v="192886.5"/>
    <n v="19205179.5"/>
    <n v="60"/>
    <n v="12000"/>
    <n v="11194"/>
    <x v="309"/>
    <x v="1"/>
  </r>
  <r>
    <d v="2020-05-21T00:00:00"/>
    <x v="12"/>
    <n v="224233.5"/>
    <n v="22253295"/>
    <n v="60"/>
    <n v="14005"/>
    <n v="13002"/>
    <x v="310"/>
    <x v="2"/>
  </r>
  <r>
    <d v="2020-05-20T00:00:00"/>
    <x v="12"/>
    <n v="219622.5"/>
    <n v="21959286"/>
    <n v="60"/>
    <n v="13792"/>
    <n v="12834"/>
    <x v="311"/>
    <x v="2"/>
  </r>
  <r>
    <d v="2020-05-05T00:00:00"/>
    <x v="12"/>
    <n v="213582"/>
    <n v="21919435.5"/>
    <n v="59"/>
    <n v="13469"/>
    <n v="12486"/>
    <x v="312"/>
    <x v="3"/>
  </r>
  <r>
    <d v="2020-04-28T00:00:00"/>
    <x v="13"/>
    <n v="195705"/>
    <n v="20003263.5"/>
    <n v="54"/>
    <n v="12306"/>
    <n v="11532"/>
    <x v="313"/>
    <x v="4"/>
  </r>
  <r>
    <d v="2020-05-13T00:00:00"/>
    <x v="12"/>
    <n v="193722"/>
    <n v="19437273"/>
    <n v="60"/>
    <n v="12007"/>
    <n v="11245"/>
    <x v="314"/>
    <x v="1"/>
  </r>
  <r>
    <d v="2020-05-03T00:00:00"/>
    <x v="12"/>
    <n v="257215.5"/>
    <n v="26492278.5"/>
    <n v="59"/>
    <n v="15277"/>
    <n v="14163"/>
    <x v="315"/>
    <x v="4"/>
  </r>
  <r>
    <d v="2020-05-06T00:00:00"/>
    <x v="12"/>
    <n v="224779.5"/>
    <n v="23032992"/>
    <n v="59"/>
    <n v="14103"/>
    <n v="13118"/>
    <x v="316"/>
    <x v="3"/>
  </r>
  <r>
    <d v="2020-05-23T00:00:00"/>
    <x v="12"/>
    <n v="292018.5"/>
    <n v="28590910.5"/>
    <n v="60"/>
    <n v="17295"/>
    <n v="16010"/>
    <x v="317"/>
    <x v="2"/>
  </r>
  <r>
    <d v="2020-05-25T00:00:00"/>
    <x v="12"/>
    <n v="198751.5"/>
    <n v="20582743.5"/>
    <n v="59"/>
    <n v="12983"/>
    <n v="12056"/>
    <x v="318"/>
    <x v="0"/>
  </r>
  <r>
    <d v="2020-04-30T00:00:00"/>
    <x v="12"/>
    <n v="214386"/>
    <n v="22530000"/>
    <n v="59"/>
    <n v="13251"/>
    <n v="12255"/>
    <x v="319"/>
    <x v="4"/>
  </r>
  <r>
    <d v="2020-05-10T00:00:00"/>
    <x v="12"/>
    <n v="243825"/>
    <n v="24890404.5"/>
    <n v="59"/>
    <n v="14569"/>
    <n v="13566"/>
    <x v="320"/>
    <x v="3"/>
  </r>
  <r>
    <d v="2020-05-08T00:00:00"/>
    <x v="12"/>
    <n v="232701"/>
    <n v="23881948.5"/>
    <n v="59"/>
    <n v="14098"/>
    <n v="13106"/>
    <x v="321"/>
    <x v="3"/>
  </r>
  <r>
    <d v="2020-05-07T00:00:00"/>
    <x v="12"/>
    <n v="219411"/>
    <n v="22460130"/>
    <n v="59"/>
    <n v="13495"/>
    <n v="12517"/>
    <x v="322"/>
    <x v="3"/>
  </r>
  <r>
    <d v="2020-05-24T00:00:00"/>
    <x v="12"/>
    <n v="200029.5"/>
    <n v="19959801"/>
    <n v="60"/>
    <n v="12822"/>
    <n v="11916"/>
    <x v="323"/>
    <x v="2"/>
  </r>
  <r>
    <d v="2020-05-16T00:00:00"/>
    <x v="13"/>
    <n v="225480"/>
    <n v="22355338.5"/>
    <n v="54"/>
    <n v="13170"/>
    <n v="12299"/>
    <x v="324"/>
    <x v="1"/>
  </r>
  <r>
    <d v="2020-05-19T00:00:00"/>
    <x v="13"/>
    <n v="211453.5"/>
    <n v="20590072.5"/>
    <n v="54"/>
    <n v="13070"/>
    <n v="12244"/>
    <x v="325"/>
    <x v="2"/>
  </r>
  <r>
    <d v="2020-05-17T00:00:00"/>
    <x v="13"/>
    <n v="184801.5"/>
    <n v="18449091"/>
    <n v="54"/>
    <n v="11128"/>
    <n v="10467"/>
    <x v="326"/>
    <x v="1"/>
  </r>
  <r>
    <d v="2020-05-09T00:00:00"/>
    <x v="13"/>
    <n v="177976.5"/>
    <n v="18085798.5"/>
    <n v="54"/>
    <n v="11288"/>
    <n v="10492"/>
    <x v="327"/>
    <x v="3"/>
  </r>
  <r>
    <d v="2020-05-04T00:00:00"/>
    <x v="13"/>
    <n v="223617"/>
    <n v="22796827.5"/>
    <n v="54"/>
    <n v="13606"/>
    <n v="12697"/>
    <x v="328"/>
    <x v="3"/>
  </r>
  <r>
    <d v="2020-05-02T00:00:00"/>
    <x v="13"/>
    <n v="176397"/>
    <n v="18625921.5"/>
    <n v="54"/>
    <n v="11622"/>
    <n v="10754"/>
    <x v="329"/>
    <x v="4"/>
  </r>
  <r>
    <d v="2020-05-26T00:00:00"/>
    <x v="13"/>
    <n v="232369.5"/>
    <n v="23856345"/>
    <n v="54"/>
    <n v="14482"/>
    <n v="13510"/>
    <x v="330"/>
    <x v="0"/>
  </r>
  <r>
    <d v="2020-05-01T00:00:00"/>
    <x v="13"/>
    <n v="226540.5"/>
    <n v="23953536"/>
    <n v="54"/>
    <n v="14205"/>
    <n v="13026"/>
    <x v="331"/>
    <x v="4"/>
  </r>
  <r>
    <d v="2020-05-12T00:00:00"/>
    <x v="13"/>
    <n v="189679.5"/>
    <n v="18718036.5"/>
    <n v="54"/>
    <n v="11614"/>
    <n v="10862"/>
    <x v="332"/>
    <x v="1"/>
  </r>
  <r>
    <d v="2020-05-21T00:00:00"/>
    <x v="13"/>
    <n v="213640.5"/>
    <n v="21042673.5"/>
    <n v="54"/>
    <n v="13240"/>
    <n v="12360"/>
    <x v="333"/>
    <x v="2"/>
  </r>
  <r>
    <d v="2020-05-20T00:00:00"/>
    <x v="13"/>
    <n v="214885.5"/>
    <n v="21411349.5"/>
    <n v="54"/>
    <n v="13298"/>
    <n v="12428"/>
    <x v="334"/>
    <x v="2"/>
  </r>
  <r>
    <d v="2020-05-05T00:00:00"/>
    <x v="13"/>
    <n v="203832"/>
    <n v="20880142.5"/>
    <n v="54"/>
    <n v="12775"/>
    <n v="11887"/>
    <x v="335"/>
    <x v="3"/>
  </r>
  <r>
    <d v="2020-05-13T00:00:00"/>
    <x v="13"/>
    <n v="188662.5"/>
    <n v="18784000.5"/>
    <n v="54"/>
    <n v="11522"/>
    <n v="10803"/>
    <x v="336"/>
    <x v="1"/>
  </r>
  <r>
    <d v="2020-05-31T00:00:00"/>
    <x v="12"/>
    <n v="215277"/>
    <n v="21585316.5"/>
    <n v="59"/>
    <n v="13684"/>
    <n v="12690"/>
    <x v="337"/>
    <x v="0"/>
  </r>
  <r>
    <d v="2020-05-03T00:00:00"/>
    <x v="13"/>
    <n v="248148"/>
    <n v="25519072.5"/>
    <n v="54"/>
    <n v="14823"/>
    <n v="13751"/>
    <x v="338"/>
    <x v="4"/>
  </r>
  <r>
    <d v="2020-05-30T00:00:00"/>
    <x v="12"/>
    <n v="246414"/>
    <n v="24527245.5"/>
    <n v="59"/>
    <n v="15030"/>
    <n v="13956"/>
    <x v="339"/>
    <x v="0"/>
  </r>
  <r>
    <d v="2020-05-06T00:00:00"/>
    <x v="13"/>
    <n v="216498"/>
    <n v="22126444.5"/>
    <n v="54"/>
    <n v="13406"/>
    <n v="12518"/>
    <x v="340"/>
    <x v="3"/>
  </r>
  <r>
    <d v="2020-05-23T00:00:00"/>
    <x v="13"/>
    <n v="275793"/>
    <n v="26806626"/>
    <n v="54"/>
    <n v="16221"/>
    <n v="15065"/>
    <x v="341"/>
    <x v="2"/>
  </r>
  <r>
    <d v="2020-05-28T00:00:00"/>
    <x v="12"/>
    <n v="199753.5"/>
    <n v="20535733.5"/>
    <n v="60"/>
    <n v="12854"/>
    <n v="11954"/>
    <x v="342"/>
    <x v="0"/>
  </r>
  <r>
    <d v="2020-05-25T00:00:00"/>
    <x v="13"/>
    <n v="192948"/>
    <n v="19806927"/>
    <n v="54"/>
    <n v="12336"/>
    <n v="11519"/>
    <x v="343"/>
    <x v="0"/>
  </r>
  <r>
    <d v="2020-04-30T00:00:00"/>
    <x v="13"/>
    <n v="206038.5"/>
    <n v="21740460"/>
    <n v="54"/>
    <n v="12817"/>
    <n v="11865"/>
    <x v="344"/>
    <x v="4"/>
  </r>
  <r>
    <d v="2020-05-10T00:00:00"/>
    <x v="13"/>
    <n v="231559.5"/>
    <n v="23443725"/>
    <n v="54"/>
    <n v="13832"/>
    <n v="12864"/>
    <x v="345"/>
    <x v="3"/>
  </r>
  <r>
    <d v="2020-05-08T00:00:00"/>
    <x v="13"/>
    <n v="225076.5"/>
    <n v="22846078.5"/>
    <n v="54"/>
    <n v="13563"/>
    <n v="12604"/>
    <x v="346"/>
    <x v="3"/>
  </r>
  <r>
    <d v="2020-05-07T00:00:00"/>
    <x v="13"/>
    <n v="209415"/>
    <n v="21463023"/>
    <n v="54"/>
    <n v="12743"/>
    <n v="11858"/>
    <x v="347"/>
    <x v="3"/>
  </r>
  <r>
    <d v="2020-05-24T00:00:00"/>
    <x v="13"/>
    <n v="193719"/>
    <n v="19071117"/>
    <n v="54"/>
    <n v="12211"/>
    <n v="11427"/>
    <x v="348"/>
    <x v="2"/>
  </r>
  <r>
    <d v="2020-04-29T00:00:00"/>
    <x v="14"/>
    <n v="12250.5"/>
    <n v="981519"/>
    <n v="15"/>
    <n v="659"/>
    <n v="575"/>
    <x v="349"/>
    <x v="4"/>
  </r>
  <r>
    <d v="2020-04-28T00:00:00"/>
    <x v="14"/>
    <n v="12541.5"/>
    <n v="992541"/>
    <n v="15"/>
    <n v="636"/>
    <n v="547"/>
    <x v="350"/>
    <x v="4"/>
  </r>
  <r>
    <d v="2020-05-31T00:00:00"/>
    <x v="13"/>
    <n v="206758.5"/>
    <n v="20717248.5"/>
    <n v="54"/>
    <n v="13106"/>
    <n v="12164"/>
    <x v="351"/>
    <x v="0"/>
  </r>
  <r>
    <d v="2020-05-30T00:00:00"/>
    <x v="13"/>
    <n v="244734"/>
    <n v="24151980"/>
    <n v="54"/>
    <n v="14590"/>
    <n v="13551"/>
    <x v="352"/>
    <x v="0"/>
  </r>
  <r>
    <d v="2020-05-28T00:00:00"/>
    <x v="13"/>
    <n v="191641.5"/>
    <n v="19549036.5"/>
    <n v="54"/>
    <n v="12409"/>
    <n v="11582"/>
    <x v="353"/>
    <x v="0"/>
  </r>
  <r>
    <d v="2020-05-16T00:00:00"/>
    <x v="14"/>
    <n v="16368"/>
    <n v="1316350.5"/>
    <n v="16"/>
    <n v="920"/>
    <n v="818"/>
    <x v="354"/>
    <x v="1"/>
  </r>
  <r>
    <d v="2020-05-19T00:00:00"/>
    <x v="14"/>
    <n v="14427"/>
    <n v="1126810.5"/>
    <n v="17"/>
    <n v="857"/>
    <n v="757"/>
    <x v="355"/>
    <x v="2"/>
  </r>
  <r>
    <d v="2020-05-17T00:00:00"/>
    <x v="14"/>
    <n v="13440"/>
    <n v="1157529"/>
    <n v="16"/>
    <n v="859"/>
    <n v="746"/>
    <x v="356"/>
    <x v="1"/>
  </r>
  <r>
    <d v="2020-05-09T00:00:00"/>
    <x v="14"/>
    <n v="11745"/>
    <n v="955801.5"/>
    <n v="15"/>
    <n v="654"/>
    <n v="570"/>
    <x v="357"/>
    <x v="3"/>
  </r>
  <r>
    <d v="2020-05-04T00:00:00"/>
    <x v="14"/>
    <n v="11062.5"/>
    <n v="906343.5"/>
    <n v="15"/>
    <n v="622"/>
    <n v="538"/>
    <x v="358"/>
    <x v="3"/>
  </r>
  <r>
    <d v="2020-05-02T00:00:00"/>
    <x v="14"/>
    <n v="10018.5"/>
    <n v="816859.5"/>
    <n v="15"/>
    <n v="567"/>
    <n v="493"/>
    <x v="359"/>
    <x v="4"/>
  </r>
  <r>
    <d v="2020-05-26T00:00:00"/>
    <x v="15"/>
    <n v="10437"/>
    <n v="833815.5"/>
    <n v="7"/>
    <n v="577"/>
    <n v="389"/>
    <x v="360"/>
    <x v="0"/>
  </r>
  <r>
    <d v="2020-05-01T00:00:00"/>
    <x v="14"/>
    <n v="13644"/>
    <n v="1134444"/>
    <n v="15"/>
    <n v="721"/>
    <n v="625"/>
    <x v="361"/>
    <x v="4"/>
  </r>
  <r>
    <d v="2020-05-12T00:00:00"/>
    <x v="14"/>
    <n v="13443"/>
    <n v="1092277.5"/>
    <n v="15"/>
    <n v="750"/>
    <n v="659"/>
    <x v="362"/>
    <x v="1"/>
  </r>
  <r>
    <d v="2020-05-21T00:00:00"/>
    <x v="14"/>
    <n v="14182.5"/>
    <n v="1172574"/>
    <n v="18"/>
    <n v="888"/>
    <n v="786"/>
    <x v="363"/>
    <x v="2"/>
  </r>
  <r>
    <d v="2020-05-20T00:00:00"/>
    <x v="14"/>
    <n v="14928"/>
    <n v="1217749.5"/>
    <n v="17"/>
    <n v="890"/>
    <n v="794"/>
    <x v="364"/>
    <x v="2"/>
  </r>
  <r>
    <d v="2020-05-05T00:00:00"/>
    <x v="14"/>
    <n v="13941"/>
    <n v="1145575.5"/>
    <n v="15"/>
    <n v="750"/>
    <n v="658"/>
    <x v="365"/>
    <x v="3"/>
  </r>
  <r>
    <d v="2020-05-13T00:00:00"/>
    <x v="14"/>
    <n v="14643"/>
    <n v="1172691"/>
    <n v="15"/>
    <n v="854"/>
    <n v="756"/>
    <x v="366"/>
    <x v="1"/>
  </r>
  <r>
    <d v="2020-05-03T00:00:00"/>
    <x v="14"/>
    <n v="10032"/>
    <n v="816150"/>
    <n v="15"/>
    <n v="585"/>
    <n v="502"/>
    <x v="367"/>
    <x v="4"/>
  </r>
  <r>
    <d v="2020-05-06T00:00:00"/>
    <x v="14"/>
    <n v="12468"/>
    <n v="1016566.5"/>
    <n v="15"/>
    <n v="701"/>
    <n v="611"/>
    <x v="368"/>
    <x v="3"/>
  </r>
  <r>
    <d v="2020-05-23T00:00:00"/>
    <x v="14"/>
    <n v="17943"/>
    <n v="1457391"/>
    <n v="18"/>
    <n v="1031"/>
    <n v="918"/>
    <x v="369"/>
    <x v="2"/>
  </r>
  <r>
    <d v="2020-05-25T00:00:00"/>
    <x v="14"/>
    <n v="15807"/>
    <n v="1326705"/>
    <n v="18"/>
    <n v="989"/>
    <n v="887"/>
    <x v="370"/>
    <x v="0"/>
  </r>
  <r>
    <d v="2020-04-30T00:00:00"/>
    <x v="14"/>
    <n v="11976"/>
    <n v="1004511"/>
    <n v="15"/>
    <n v="644"/>
    <n v="550"/>
    <x v="371"/>
    <x v="4"/>
  </r>
  <r>
    <d v="2020-05-10T00:00:00"/>
    <x v="14"/>
    <n v="14566.5"/>
    <n v="1216557"/>
    <n v="15"/>
    <n v="792"/>
    <n v="695"/>
    <x v="372"/>
    <x v="3"/>
  </r>
  <r>
    <d v="2020-05-08T00:00:00"/>
    <x v="14"/>
    <n v="12976.5"/>
    <n v="1046848.5"/>
    <n v="15"/>
    <n v="703"/>
    <n v="609"/>
    <x v="373"/>
    <x v="3"/>
  </r>
  <r>
    <d v="2020-05-07T00:00:00"/>
    <x v="14"/>
    <n v="11719.5"/>
    <n v="965880"/>
    <n v="15"/>
    <n v="676"/>
    <n v="591"/>
    <x v="374"/>
    <x v="3"/>
  </r>
  <r>
    <d v="2020-05-24T00:00:00"/>
    <x v="14"/>
    <n v="17197.5"/>
    <n v="1386262.5"/>
    <n v="18"/>
    <n v="1006"/>
    <n v="904"/>
    <x v="375"/>
    <x v="2"/>
  </r>
  <r>
    <d v="2020-05-26T00:00:00"/>
    <x v="14"/>
    <n v="14419.5"/>
    <n v="1210456.5"/>
    <n v="18"/>
    <n v="914"/>
    <n v="804"/>
    <x v="376"/>
    <x v="0"/>
  </r>
  <r>
    <d v="2020-06-01T00:00:00"/>
    <x v="0"/>
    <n v="7816.5"/>
    <n v="636345"/>
    <n v="15"/>
    <n v="453"/>
    <n v="370"/>
    <x v="377"/>
    <x v="5"/>
  </r>
  <r>
    <d v="2020-05-31T00:00:00"/>
    <x v="16"/>
    <n v="6409.5"/>
    <n v="493893"/>
    <n v="9"/>
    <n v="345"/>
    <n v="255"/>
    <x v="378"/>
    <x v="0"/>
  </r>
  <r>
    <d v="2020-05-30T00:00:00"/>
    <x v="15"/>
    <n v="11220"/>
    <n v="928675.5"/>
    <n v="7"/>
    <n v="532"/>
    <n v="449"/>
    <x v="379"/>
    <x v="0"/>
  </r>
  <r>
    <d v="2020-05-29T00:00:00"/>
    <x v="0"/>
    <n v="8350.5"/>
    <n v="651237"/>
    <n v="15"/>
    <n v="400"/>
    <n v="329"/>
    <x v="380"/>
    <x v="0"/>
  </r>
  <r>
    <d v="2020-05-28T00:00:00"/>
    <x v="15"/>
    <n v="8428.5"/>
    <n v="694669.5"/>
    <n v="7"/>
    <n v="420"/>
    <n v="347"/>
    <x v="381"/>
    <x v="0"/>
  </r>
  <r>
    <d v="2020-05-27T00:00:00"/>
    <x v="1"/>
    <n v="32817"/>
    <n v="3015751.5"/>
    <n v="20"/>
    <n v="2079"/>
    <n v="1893"/>
    <x v="382"/>
    <x v="0"/>
  </r>
  <r>
    <d v="2020-05-22T00:00:00"/>
    <x v="1"/>
    <n v="36031.5"/>
    <n v="3091069.5"/>
    <n v="21"/>
    <n v="2046"/>
    <n v="1853"/>
    <x v="383"/>
    <x v="2"/>
  </r>
  <r>
    <d v="2020-05-31T00:00:00"/>
    <x v="17"/>
    <n v="5127"/>
    <n v="468835.5"/>
    <n v="6"/>
    <n v="261"/>
    <n v="188"/>
    <x v="384"/>
    <x v="0"/>
  </r>
  <r>
    <d v="2020-05-11T00:00:00"/>
    <x v="1"/>
    <n v="27187.5"/>
    <n v="2479396.5"/>
    <n v="21"/>
    <n v="1597"/>
    <n v="1457"/>
    <x v="385"/>
    <x v="1"/>
  </r>
  <r>
    <d v="2020-05-30T00:00:00"/>
    <x v="14"/>
    <n v="20688"/>
    <n v="1773154.5"/>
    <n v="18"/>
    <n v="1216"/>
    <n v="1101"/>
    <x v="386"/>
    <x v="0"/>
  </r>
  <r>
    <d v="2020-05-28T00:00:00"/>
    <x v="14"/>
    <n v="15678"/>
    <n v="1387443"/>
    <n v="18"/>
    <n v="1020"/>
    <n v="911"/>
    <x v="387"/>
    <x v="0"/>
  </r>
  <r>
    <d v="2020-05-18T00:00:00"/>
    <x v="1"/>
    <n v="31329"/>
    <n v="2826379.5"/>
    <n v="21"/>
    <n v="1834"/>
    <n v="1660"/>
    <x v="388"/>
    <x v="2"/>
  </r>
  <r>
    <d v="2020-05-14T00:00:00"/>
    <x v="1"/>
    <n v="29658"/>
    <n v="2703132"/>
    <n v="21"/>
    <n v="1706"/>
    <n v="1548"/>
    <x v="389"/>
    <x v="1"/>
  </r>
  <r>
    <d v="2020-05-15T00:00:00"/>
    <x v="1"/>
    <n v="34150.5"/>
    <n v="3038293.5"/>
    <n v="21"/>
    <n v="1926"/>
    <n v="1742"/>
    <x v="390"/>
    <x v="1"/>
  </r>
  <r>
    <d v="2020-06-01T00:00:00"/>
    <x v="1"/>
    <n v="31947"/>
    <n v="2945035.5"/>
    <n v="21"/>
    <n v="2025"/>
    <n v="1849"/>
    <x v="391"/>
    <x v="5"/>
  </r>
  <r>
    <d v="2020-05-31T00:00:00"/>
    <x v="15"/>
    <n v="10416"/>
    <n v="866023.5"/>
    <n v="7"/>
    <n v="530"/>
    <n v="447"/>
    <x v="392"/>
    <x v="0"/>
  </r>
  <r>
    <d v="2020-05-29T00:00:00"/>
    <x v="1"/>
    <n v="35431.5"/>
    <n v="3193167"/>
    <n v="20"/>
    <n v="2111"/>
    <n v="1917"/>
    <x v="393"/>
    <x v="0"/>
  </r>
  <r>
    <d v="2020-05-27T00:00:00"/>
    <x v="2"/>
    <n v="78544.5"/>
    <n v="6701083.5"/>
    <n v="31"/>
    <n v="5330"/>
    <n v="4977"/>
    <x v="394"/>
    <x v="0"/>
  </r>
  <r>
    <d v="2020-05-22T00:00:00"/>
    <x v="2"/>
    <n v="97963.5"/>
    <n v="7728465"/>
    <n v="31"/>
    <n v="5965"/>
    <n v="5533"/>
    <x v="395"/>
    <x v="2"/>
  </r>
  <r>
    <d v="2020-06-01T00:00:00"/>
    <x v="2"/>
    <n v="77269.5"/>
    <n v="6829921.5"/>
    <n v="31"/>
    <n v="5468"/>
    <n v="5081"/>
    <x v="396"/>
    <x v="5"/>
  </r>
  <r>
    <d v="2020-05-31T00:00:00"/>
    <x v="14"/>
    <n v="16143"/>
    <n v="1423410"/>
    <n v="18"/>
    <n v="1029"/>
    <n v="925"/>
    <x v="397"/>
    <x v="0"/>
  </r>
  <r>
    <d v="2020-05-11T00:00:00"/>
    <x v="2"/>
    <n v="72220.5"/>
    <n v="6398719.5"/>
    <n v="31"/>
    <n v="4826"/>
    <n v="4483"/>
    <x v="398"/>
    <x v="1"/>
  </r>
  <r>
    <d v="2020-05-18T00:00:00"/>
    <x v="2"/>
    <n v="78058.5"/>
    <n v="6609714"/>
    <n v="31"/>
    <n v="5165"/>
    <n v="4813"/>
    <x v="399"/>
    <x v="2"/>
  </r>
  <r>
    <d v="2020-05-14T00:00:00"/>
    <x v="2"/>
    <n v="70498.5"/>
    <n v="6053649"/>
    <n v="31"/>
    <n v="4695"/>
    <n v="4372"/>
    <x v="400"/>
    <x v="1"/>
  </r>
  <r>
    <d v="2020-05-15T00:00:00"/>
    <x v="2"/>
    <n v="78961.5"/>
    <n v="6876454.5"/>
    <n v="31"/>
    <n v="5184"/>
    <n v="4778"/>
    <x v="401"/>
    <x v="1"/>
  </r>
  <r>
    <d v="2020-05-27T00:00:00"/>
    <x v="3"/>
    <n v="12490.5"/>
    <n v="1054798.5"/>
    <n v="10"/>
    <n v="757"/>
    <n v="660"/>
    <x v="402"/>
    <x v="0"/>
  </r>
  <r>
    <d v="2020-05-22T00:00:00"/>
    <x v="3"/>
    <n v="18036"/>
    <n v="1455049.5"/>
    <n v="10"/>
    <n v="965"/>
    <n v="861"/>
    <x v="403"/>
    <x v="2"/>
  </r>
  <r>
    <d v="2020-06-01T00:00:00"/>
    <x v="3"/>
    <n v="11416.5"/>
    <n v="1007742"/>
    <n v="10"/>
    <n v="719"/>
    <n v="627"/>
    <x v="404"/>
    <x v="5"/>
  </r>
  <r>
    <d v="2020-05-11T00:00:00"/>
    <x v="3"/>
    <n v="9007.5"/>
    <n v="734335.5"/>
    <n v="10"/>
    <n v="494"/>
    <n v="421"/>
    <x v="405"/>
    <x v="1"/>
  </r>
  <r>
    <d v="2020-05-29T00:00:00"/>
    <x v="2"/>
    <n v="87552"/>
    <n v="7387116"/>
    <n v="31"/>
    <n v="5751"/>
    <n v="5319"/>
    <x v="406"/>
    <x v="0"/>
  </r>
  <r>
    <d v="2020-05-18T00:00:00"/>
    <x v="3"/>
    <n v="11680.5"/>
    <n v="936427.5"/>
    <n v="10"/>
    <n v="645"/>
    <n v="565"/>
    <x v="407"/>
    <x v="2"/>
  </r>
  <r>
    <d v="2020-05-14T00:00:00"/>
    <x v="3"/>
    <n v="12037.5"/>
    <n v="981564"/>
    <n v="10"/>
    <n v="627"/>
    <n v="545"/>
    <x v="408"/>
    <x v="1"/>
  </r>
  <r>
    <d v="2020-05-15T00:00:00"/>
    <x v="3"/>
    <n v="14421"/>
    <n v="1150579.5"/>
    <n v="10"/>
    <n v="743"/>
    <n v="652"/>
    <x v="409"/>
    <x v="1"/>
  </r>
  <r>
    <d v="2020-05-29T00:00:00"/>
    <x v="3"/>
    <n v="14823"/>
    <n v="1273464"/>
    <n v="10"/>
    <n v="873"/>
    <n v="770"/>
    <x v="410"/>
    <x v="0"/>
  </r>
  <r>
    <d v="2020-05-27T00:00:00"/>
    <x v="4"/>
    <n v="31257"/>
    <n v="2924133"/>
    <n v="20"/>
    <n v="2079"/>
    <n v="1856"/>
    <x v="411"/>
    <x v="0"/>
  </r>
  <r>
    <d v="2020-05-22T00:00:00"/>
    <x v="4"/>
    <n v="38074.5"/>
    <n v="3414180"/>
    <n v="20"/>
    <n v="2306"/>
    <n v="2054"/>
    <x v="412"/>
    <x v="2"/>
  </r>
  <r>
    <d v="2020-06-01T00:00:00"/>
    <x v="4"/>
    <n v="32170.5"/>
    <n v="3013512"/>
    <n v="20"/>
    <n v="2136"/>
    <n v="1899"/>
    <x v="413"/>
    <x v="5"/>
  </r>
  <r>
    <d v="2020-05-11T00:00:00"/>
    <x v="4"/>
    <n v="42397.5"/>
    <n v="3911979"/>
    <n v="19"/>
    <n v="2530"/>
    <n v="2270"/>
    <x v="414"/>
    <x v="1"/>
  </r>
  <r>
    <d v="2020-05-18T00:00:00"/>
    <x v="4"/>
    <n v="28668"/>
    <n v="2588148"/>
    <n v="19"/>
    <n v="1858"/>
    <n v="1648"/>
    <x v="415"/>
    <x v="2"/>
  </r>
  <r>
    <d v="2020-05-14T00:00:00"/>
    <x v="4"/>
    <n v="27411"/>
    <n v="2441520"/>
    <n v="19"/>
    <n v="1675"/>
    <n v="1475"/>
    <x v="416"/>
    <x v="1"/>
  </r>
  <r>
    <d v="2020-05-15T00:00:00"/>
    <x v="4"/>
    <n v="32854.5"/>
    <n v="2949078"/>
    <n v="19"/>
    <n v="1940"/>
    <n v="1715"/>
    <x v="417"/>
    <x v="1"/>
  </r>
  <r>
    <d v="2020-05-29T00:00:00"/>
    <x v="4"/>
    <n v="35346"/>
    <n v="3258054"/>
    <n v="20"/>
    <n v="2249"/>
    <n v="2000"/>
    <x v="418"/>
    <x v="0"/>
  </r>
  <r>
    <d v="2020-05-27T00:00:00"/>
    <x v="5"/>
    <n v="286558.5"/>
    <n v="29256993"/>
    <n v="129"/>
    <n v="17115"/>
    <n v="15962"/>
    <x v="419"/>
    <x v="0"/>
  </r>
  <r>
    <d v="2020-05-22T00:00:00"/>
    <x v="5"/>
    <n v="304092"/>
    <n v="29465769"/>
    <n v="129"/>
    <n v="17088"/>
    <n v="15804"/>
    <x v="420"/>
    <x v="2"/>
  </r>
  <r>
    <d v="2020-06-01T00:00:00"/>
    <x v="5"/>
    <n v="272926.5"/>
    <n v="27770092.5"/>
    <n v="128"/>
    <n v="16285"/>
    <n v="15130"/>
    <x v="421"/>
    <x v="5"/>
  </r>
  <r>
    <d v="2020-05-11T00:00:00"/>
    <x v="5"/>
    <n v="237099"/>
    <n v="24628233.223949999"/>
    <n v="129"/>
    <n v="14043"/>
    <n v="13167"/>
    <x v="422"/>
    <x v="1"/>
  </r>
  <r>
    <d v="2020-05-18T00:00:00"/>
    <x v="5"/>
    <n v="273900"/>
    <n v="27535284.147600003"/>
    <n v="129"/>
    <n v="16110"/>
    <n v="14992"/>
    <x v="423"/>
    <x v="2"/>
  </r>
  <r>
    <d v="2020-05-14T00:00:00"/>
    <x v="5"/>
    <n v="274059"/>
    <n v="28181292"/>
    <n v="129"/>
    <n v="15804"/>
    <n v="14738"/>
    <x v="424"/>
    <x v="1"/>
  </r>
  <r>
    <d v="2020-05-15T00:00:00"/>
    <x v="5"/>
    <n v="318816"/>
    <n v="32354331"/>
    <n v="129"/>
    <n v="17808"/>
    <n v="16486"/>
    <x v="425"/>
    <x v="1"/>
  </r>
  <r>
    <d v="2020-05-27T00:00:00"/>
    <x v="6"/>
    <n v="370012.5"/>
    <n v="39034861.5"/>
    <n v="124"/>
    <n v="21384"/>
    <n v="19897"/>
    <x v="426"/>
    <x v="0"/>
  </r>
  <r>
    <d v="2020-05-22T00:00:00"/>
    <x v="6"/>
    <n v="393018"/>
    <n v="39498373.5"/>
    <n v="125"/>
    <n v="21427"/>
    <n v="19799"/>
    <x v="427"/>
    <x v="2"/>
  </r>
  <r>
    <d v="2020-06-01T00:00:00"/>
    <x v="6"/>
    <n v="349699.5"/>
    <n v="37257840.18135"/>
    <n v="123"/>
    <n v="20325"/>
    <n v="18935"/>
    <x v="428"/>
    <x v="5"/>
  </r>
  <r>
    <d v="2020-05-11T00:00:00"/>
    <x v="6"/>
    <n v="318565.5"/>
    <n v="33781581"/>
    <n v="125"/>
    <n v="18066"/>
    <n v="16883"/>
    <x v="429"/>
    <x v="1"/>
  </r>
  <r>
    <d v="2020-05-29T00:00:00"/>
    <x v="5"/>
    <n v="422965.5"/>
    <n v="41767140.105000004"/>
    <n v="129"/>
    <n v="22403"/>
    <n v="20676"/>
    <x v="430"/>
    <x v="0"/>
  </r>
  <r>
    <d v="2020-05-18T00:00:00"/>
    <x v="6"/>
    <n v="355081.5"/>
    <n v="36876888"/>
    <n v="125"/>
    <n v="20449"/>
    <n v="19060"/>
    <x v="431"/>
    <x v="2"/>
  </r>
  <r>
    <d v="2020-05-14T00:00:00"/>
    <x v="6"/>
    <n v="358387.5"/>
    <n v="37963150.5"/>
    <n v="125"/>
    <n v="20247"/>
    <n v="18812"/>
    <x v="432"/>
    <x v="1"/>
  </r>
  <r>
    <d v="2020-05-15T00:00:00"/>
    <x v="6"/>
    <n v="403261.5"/>
    <n v="42271377"/>
    <n v="125"/>
    <n v="21862"/>
    <n v="20235"/>
    <x v="433"/>
    <x v="1"/>
  </r>
  <r>
    <d v="2020-05-27T00:00:00"/>
    <x v="7"/>
    <n v="69010.5"/>
    <n v="5985894"/>
    <n v="36"/>
    <n v="4951"/>
    <n v="4584"/>
    <x v="434"/>
    <x v="0"/>
  </r>
  <r>
    <d v="2020-05-22T00:00:00"/>
    <x v="7"/>
    <n v="75820.5"/>
    <n v="5943489"/>
    <n v="36"/>
    <n v="4857"/>
    <n v="4456"/>
    <x v="435"/>
    <x v="2"/>
  </r>
  <r>
    <d v="2020-06-01T00:00:00"/>
    <x v="7"/>
    <n v="64740"/>
    <n v="5800290"/>
    <n v="37"/>
    <n v="4722"/>
    <n v="4352"/>
    <x v="436"/>
    <x v="5"/>
  </r>
  <r>
    <d v="2020-05-11T00:00:00"/>
    <x v="7"/>
    <n v="59574"/>
    <n v="5178169.5"/>
    <n v="36"/>
    <n v="4150"/>
    <n v="3838"/>
    <x v="437"/>
    <x v="1"/>
  </r>
  <r>
    <d v="2020-05-29T00:00:00"/>
    <x v="6"/>
    <n v="524481"/>
    <n v="54172029"/>
    <n v="124"/>
    <n v="25828"/>
    <n v="23974"/>
    <x v="438"/>
    <x v="0"/>
  </r>
  <r>
    <d v="2020-05-18T00:00:00"/>
    <x v="7"/>
    <n v="70278"/>
    <n v="5798476.5"/>
    <n v="36"/>
    <n v="4885"/>
    <n v="4502"/>
    <x v="439"/>
    <x v="2"/>
  </r>
  <r>
    <d v="2020-05-14T00:00:00"/>
    <x v="7"/>
    <n v="63645"/>
    <n v="5366602.5"/>
    <n v="36"/>
    <n v="4285"/>
    <n v="3950"/>
    <x v="440"/>
    <x v="1"/>
  </r>
  <r>
    <d v="2020-05-15T00:00:00"/>
    <x v="7"/>
    <n v="75642"/>
    <n v="6293952"/>
    <n v="36"/>
    <n v="4862"/>
    <n v="4476"/>
    <x v="441"/>
    <x v="1"/>
  </r>
  <r>
    <d v="2020-05-27T00:00:00"/>
    <x v="8"/>
    <n v="40420.5"/>
    <n v="3780852"/>
    <n v="21"/>
    <n v="2430"/>
    <n v="2216"/>
    <x v="442"/>
    <x v="0"/>
  </r>
  <r>
    <d v="2020-05-22T00:00:00"/>
    <x v="8"/>
    <n v="53838"/>
    <n v="4840833"/>
    <n v="21"/>
    <n v="2861"/>
    <n v="2612"/>
    <x v="443"/>
    <x v="2"/>
  </r>
  <r>
    <d v="2020-06-01T00:00:00"/>
    <x v="8"/>
    <n v="40528.5"/>
    <n v="3865251"/>
    <n v="23"/>
    <n v="2531"/>
    <n v="2296"/>
    <x v="444"/>
    <x v="5"/>
  </r>
  <r>
    <d v="2020-05-11T00:00:00"/>
    <x v="8"/>
    <n v="32733"/>
    <n v="3079630.5"/>
    <n v="21"/>
    <n v="1916"/>
    <n v="1733"/>
    <x v="445"/>
    <x v="1"/>
  </r>
  <r>
    <d v="2020-05-29T00:00:00"/>
    <x v="7"/>
    <n v="84433.5"/>
    <n v="7228395"/>
    <n v="37"/>
    <n v="5672"/>
    <n v="5198"/>
    <x v="446"/>
    <x v="0"/>
  </r>
  <r>
    <d v="2020-05-18T00:00:00"/>
    <x v="8"/>
    <n v="36655.5"/>
    <n v="3360135"/>
    <n v="21"/>
    <n v="2136"/>
    <n v="1947"/>
    <x v="447"/>
    <x v="2"/>
  </r>
  <r>
    <d v="2020-05-14T00:00:00"/>
    <x v="8"/>
    <n v="33886.5"/>
    <n v="3166479"/>
    <n v="21"/>
    <n v="1993"/>
    <n v="1796"/>
    <x v="448"/>
    <x v="1"/>
  </r>
  <r>
    <d v="2020-05-15T00:00:00"/>
    <x v="8"/>
    <n v="41697"/>
    <n v="3772258.5"/>
    <n v="21"/>
    <n v="2255"/>
    <n v="2045"/>
    <x v="449"/>
    <x v="1"/>
  </r>
  <r>
    <d v="2020-05-29T00:00:00"/>
    <x v="8"/>
    <n v="44569.5"/>
    <n v="4108596"/>
    <n v="22"/>
    <n v="2597"/>
    <n v="2379"/>
    <x v="450"/>
    <x v="0"/>
  </r>
  <r>
    <d v="2020-05-27T00:00:00"/>
    <x v="9"/>
    <n v="18069"/>
    <n v="1603084.5"/>
    <n v="17"/>
    <n v="1203"/>
    <n v="1077"/>
    <x v="451"/>
    <x v="0"/>
  </r>
  <r>
    <d v="2020-05-22T00:00:00"/>
    <x v="9"/>
    <n v="21483"/>
    <n v="1774329"/>
    <n v="17"/>
    <n v="1268"/>
    <n v="1129"/>
    <x v="452"/>
    <x v="2"/>
  </r>
  <r>
    <d v="2020-06-01T00:00:00"/>
    <x v="9"/>
    <n v="16687.5"/>
    <n v="1526608.5"/>
    <n v="17"/>
    <n v="1185"/>
    <n v="1042"/>
    <x v="453"/>
    <x v="5"/>
  </r>
  <r>
    <d v="2020-05-11T00:00:00"/>
    <x v="9"/>
    <n v="12238.5"/>
    <n v="1096002"/>
    <n v="15"/>
    <n v="812"/>
    <n v="714"/>
    <x v="454"/>
    <x v="1"/>
  </r>
  <r>
    <d v="2020-05-18T00:00:00"/>
    <x v="9"/>
    <n v="14290.5"/>
    <n v="1246162.5"/>
    <n v="16"/>
    <n v="925"/>
    <n v="816"/>
    <x v="455"/>
    <x v="2"/>
  </r>
  <r>
    <d v="2020-05-14T00:00:00"/>
    <x v="9"/>
    <n v="14385"/>
    <n v="1223491.5"/>
    <n v="15"/>
    <n v="890"/>
    <n v="777"/>
    <x v="456"/>
    <x v="1"/>
  </r>
  <r>
    <d v="2020-05-15T00:00:00"/>
    <x v="9"/>
    <n v="16498.5"/>
    <n v="1370482.5"/>
    <n v="15"/>
    <n v="980"/>
    <n v="867"/>
    <x v="457"/>
    <x v="1"/>
  </r>
  <r>
    <d v="2020-05-27T00:00:00"/>
    <x v="10"/>
    <n v="13203"/>
    <n v="1211457"/>
    <n v="15"/>
    <n v="809"/>
    <n v="702"/>
    <x v="458"/>
    <x v="0"/>
  </r>
  <r>
    <d v="2020-05-22T00:00:00"/>
    <x v="10"/>
    <n v="15802.5"/>
    <n v="1411909.5"/>
    <n v="15"/>
    <n v="903"/>
    <n v="792"/>
    <x v="459"/>
    <x v="2"/>
  </r>
  <r>
    <d v="2020-06-01T00:00:00"/>
    <x v="10"/>
    <n v="16476"/>
    <n v="1565632.5"/>
    <n v="16"/>
    <n v="1019"/>
    <n v="895"/>
    <x v="460"/>
    <x v="5"/>
  </r>
  <r>
    <d v="2020-05-11T00:00:00"/>
    <x v="10"/>
    <n v="12654"/>
    <n v="1081158"/>
    <n v="15"/>
    <n v="684"/>
    <n v="585"/>
    <x v="461"/>
    <x v="1"/>
  </r>
  <r>
    <d v="2020-05-29T00:00:00"/>
    <x v="9"/>
    <n v="19647"/>
    <n v="1764669"/>
    <n v="17"/>
    <n v="1296"/>
    <n v="1153"/>
    <x v="462"/>
    <x v="0"/>
  </r>
  <r>
    <d v="2020-05-18T00:00:00"/>
    <x v="10"/>
    <n v="12450"/>
    <n v="1115146.5"/>
    <n v="15"/>
    <n v="729"/>
    <n v="636"/>
    <x v="463"/>
    <x v="2"/>
  </r>
  <r>
    <d v="2020-05-14T00:00:00"/>
    <x v="10"/>
    <n v="11161.5"/>
    <n v="963502.5"/>
    <n v="15"/>
    <n v="638"/>
    <n v="548"/>
    <x v="464"/>
    <x v="1"/>
  </r>
  <r>
    <d v="2020-05-15T00:00:00"/>
    <x v="10"/>
    <n v="12229.5"/>
    <n v="1122730.5"/>
    <n v="15"/>
    <n v="688"/>
    <n v="598"/>
    <x v="465"/>
    <x v="1"/>
  </r>
  <r>
    <d v="2020-05-27T00:00:00"/>
    <x v="11"/>
    <n v="28050"/>
    <n v="2458555.5"/>
    <n v="20"/>
    <n v="1873"/>
    <n v="1715"/>
    <x v="466"/>
    <x v="0"/>
  </r>
  <r>
    <d v="2020-05-22T00:00:00"/>
    <x v="11"/>
    <n v="30781.5"/>
    <n v="2540715"/>
    <n v="19"/>
    <n v="1859"/>
    <n v="1697"/>
    <x v="467"/>
    <x v="2"/>
  </r>
  <r>
    <d v="2020-06-01T00:00:00"/>
    <x v="11"/>
    <n v="27960"/>
    <n v="2538967.5"/>
    <n v="21"/>
    <n v="1879"/>
    <n v="1720"/>
    <x v="468"/>
    <x v="5"/>
  </r>
  <r>
    <d v="2020-05-11T00:00:00"/>
    <x v="11"/>
    <n v="23629.5"/>
    <n v="2164365"/>
    <n v="19"/>
    <n v="1527"/>
    <n v="1389"/>
    <x v="469"/>
    <x v="1"/>
  </r>
  <r>
    <d v="2020-05-29T00:00:00"/>
    <x v="10"/>
    <n v="17052"/>
    <n v="1549020"/>
    <n v="16"/>
    <n v="981"/>
    <n v="859"/>
    <x v="470"/>
    <x v="0"/>
  </r>
  <r>
    <d v="2020-05-18T00:00:00"/>
    <x v="11"/>
    <n v="27181.5"/>
    <n v="2324490"/>
    <n v="19"/>
    <n v="1741"/>
    <n v="1597"/>
    <x v="471"/>
    <x v="2"/>
  </r>
  <r>
    <d v="2020-05-14T00:00:00"/>
    <x v="11"/>
    <n v="25656"/>
    <n v="2225341.5"/>
    <n v="19"/>
    <n v="1635"/>
    <n v="1487"/>
    <x v="472"/>
    <x v="1"/>
  </r>
  <r>
    <d v="2020-05-15T00:00:00"/>
    <x v="11"/>
    <n v="29283"/>
    <n v="2477487"/>
    <n v="19"/>
    <n v="1780"/>
    <n v="1615"/>
    <x v="473"/>
    <x v="1"/>
  </r>
  <r>
    <d v="2020-05-29T00:00:00"/>
    <x v="11"/>
    <n v="32782.5"/>
    <n v="2854741.5"/>
    <n v="20"/>
    <n v="2064"/>
    <n v="1896"/>
    <x v="474"/>
    <x v="0"/>
  </r>
  <r>
    <d v="2020-05-27T00:00:00"/>
    <x v="12"/>
    <n v="215592"/>
    <n v="22342300.5"/>
    <n v="59"/>
    <n v="13942"/>
    <n v="12986"/>
    <x v="475"/>
    <x v="0"/>
  </r>
  <r>
    <d v="2020-05-22T00:00:00"/>
    <x v="12"/>
    <n v="228334.5"/>
    <n v="22380772.5"/>
    <n v="60"/>
    <n v="14050"/>
    <n v="13027"/>
    <x v="476"/>
    <x v="2"/>
  </r>
  <r>
    <d v="2020-06-01T00:00:00"/>
    <x v="12"/>
    <n v="188776.5"/>
    <n v="19465372.5"/>
    <n v="59"/>
    <n v="12299"/>
    <n v="11448"/>
    <x v="477"/>
    <x v="5"/>
  </r>
  <r>
    <d v="2020-05-11T00:00:00"/>
    <x v="12"/>
    <n v="175293"/>
    <n v="17919144"/>
    <n v="60"/>
    <n v="11100"/>
    <n v="10407"/>
    <x v="478"/>
    <x v="1"/>
  </r>
  <r>
    <d v="2020-05-18T00:00:00"/>
    <x v="12"/>
    <n v="201999"/>
    <n v="20422435.5"/>
    <n v="60"/>
    <n v="12460"/>
    <n v="11665"/>
    <x v="479"/>
    <x v="2"/>
  </r>
  <r>
    <d v="2020-05-14T00:00:00"/>
    <x v="12"/>
    <n v="197946"/>
    <n v="19942435.5"/>
    <n v="60"/>
    <n v="11935"/>
    <n v="11178"/>
    <x v="480"/>
    <x v="1"/>
  </r>
  <r>
    <d v="2020-05-15T00:00:00"/>
    <x v="12"/>
    <n v="230896.5"/>
    <n v="23085222"/>
    <n v="60"/>
    <n v="13544"/>
    <n v="12643"/>
    <x v="481"/>
    <x v="1"/>
  </r>
  <r>
    <d v="2020-05-27T00:00:00"/>
    <x v="13"/>
    <n v="203532"/>
    <n v="20953324.5"/>
    <n v="54"/>
    <n v="13091"/>
    <n v="12216"/>
    <x v="482"/>
    <x v="0"/>
  </r>
  <r>
    <d v="2020-05-22T00:00:00"/>
    <x v="13"/>
    <n v="214428"/>
    <n v="20812585.5"/>
    <n v="54"/>
    <n v="13014"/>
    <n v="12095"/>
    <x v="483"/>
    <x v="2"/>
  </r>
  <r>
    <d v="2020-06-01T00:00:00"/>
    <x v="13"/>
    <n v="183228"/>
    <n v="18914194.5"/>
    <n v="54"/>
    <n v="11864"/>
    <n v="11071"/>
    <x v="484"/>
    <x v="5"/>
  </r>
  <r>
    <d v="2020-05-11T00:00:00"/>
    <x v="13"/>
    <n v="166948.5"/>
    <n v="16971231"/>
    <n v="54"/>
    <n v="10570"/>
    <n v="9926"/>
    <x v="485"/>
    <x v="1"/>
  </r>
  <r>
    <d v="2020-05-29T00:00:00"/>
    <x v="12"/>
    <n v="232102.5"/>
    <n v="23120443.5"/>
    <n v="59"/>
    <n v="14507"/>
    <n v="13386"/>
    <x v="486"/>
    <x v="0"/>
  </r>
  <r>
    <d v="2020-05-18T00:00:00"/>
    <x v="13"/>
    <n v="196560"/>
    <n v="19855122"/>
    <n v="54"/>
    <n v="12012"/>
    <n v="11308"/>
    <x v="487"/>
    <x v="2"/>
  </r>
  <r>
    <d v="2020-05-14T00:00:00"/>
    <x v="13"/>
    <n v="186496.5"/>
    <n v="18640998"/>
    <n v="54"/>
    <n v="11194"/>
    <n v="10554"/>
    <x v="488"/>
    <x v="1"/>
  </r>
  <r>
    <d v="2020-05-15T00:00:00"/>
    <x v="13"/>
    <n v="219772.5"/>
    <n v="21895294.5"/>
    <n v="54"/>
    <n v="12791"/>
    <n v="11950"/>
    <x v="489"/>
    <x v="1"/>
  </r>
  <r>
    <d v="2020-05-29T00:00:00"/>
    <x v="13"/>
    <n v="226476"/>
    <n v="22416151.5"/>
    <n v="54"/>
    <n v="14031"/>
    <n v="12943"/>
    <x v="490"/>
    <x v="0"/>
  </r>
  <r>
    <d v="2020-05-27T00:00:00"/>
    <x v="15"/>
    <n v="8362.5"/>
    <n v="687684"/>
    <n v="7"/>
    <n v="409"/>
    <n v="329"/>
    <x v="491"/>
    <x v="0"/>
  </r>
  <r>
    <d v="2020-05-22T00:00:00"/>
    <x v="14"/>
    <n v="17008.5"/>
    <n v="1398771"/>
    <n v="18"/>
    <n v="985"/>
    <n v="861"/>
    <x v="492"/>
    <x v="2"/>
  </r>
  <r>
    <d v="2020-06-01T00:00:00"/>
    <x v="16"/>
    <n v="5166"/>
    <n v="389013"/>
    <n v="9"/>
    <n v="294"/>
    <n v="224"/>
    <x v="493"/>
    <x v="5"/>
  </r>
  <r>
    <d v="2020-05-11T00:00:00"/>
    <x v="14"/>
    <n v="10941"/>
    <n v="880356"/>
    <n v="15"/>
    <n v="654"/>
    <n v="564"/>
    <x v="494"/>
    <x v="1"/>
  </r>
  <r>
    <d v="2020-05-18T00:00:00"/>
    <x v="14"/>
    <n v="14497.5"/>
    <n v="1230711"/>
    <n v="16"/>
    <n v="864"/>
    <n v="765"/>
    <x v="495"/>
    <x v="2"/>
  </r>
  <r>
    <d v="2020-05-14T00:00:00"/>
    <x v="14"/>
    <n v="13810.5"/>
    <n v="1131676.5"/>
    <n v="16"/>
    <n v="834"/>
    <n v="735"/>
    <x v="496"/>
    <x v="1"/>
  </r>
  <r>
    <d v="2020-05-15T00:00:00"/>
    <x v="14"/>
    <n v="13752"/>
    <n v="1091040"/>
    <n v="16"/>
    <n v="817"/>
    <n v="718"/>
    <x v="497"/>
    <x v="1"/>
  </r>
  <r>
    <d v="2020-05-27T00:00:00"/>
    <x v="14"/>
    <n v="15276"/>
    <n v="1350199.5"/>
    <n v="18"/>
    <n v="962"/>
    <n v="859"/>
    <x v="498"/>
    <x v="0"/>
  </r>
  <r>
    <d v="2020-06-01T00:00:00"/>
    <x v="17"/>
    <n v="4408.5"/>
    <n v="410892"/>
    <n v="6"/>
    <n v="237"/>
    <n v="175"/>
    <x v="499"/>
    <x v="5"/>
  </r>
  <r>
    <d v="2020-05-29T00:00:00"/>
    <x v="15"/>
    <n v="9927"/>
    <n v="850840.5"/>
    <n v="7"/>
    <n v="491"/>
    <n v="411"/>
    <x v="500"/>
    <x v="0"/>
  </r>
  <r>
    <d v="2020-06-01T00:00:00"/>
    <x v="15"/>
    <n v="9474"/>
    <n v="802447.5"/>
    <n v="7"/>
    <n v="500"/>
    <n v="418"/>
    <x v="501"/>
    <x v="5"/>
  </r>
  <r>
    <d v="2020-05-29T00:00:00"/>
    <x v="14"/>
    <n v="16878"/>
    <n v="1438255.5"/>
    <n v="18"/>
    <n v="1014"/>
    <n v="893"/>
    <x v="502"/>
    <x v="0"/>
  </r>
  <r>
    <d v="2020-06-01T00:00:00"/>
    <x v="14"/>
    <n v="14238"/>
    <n v="1293219"/>
    <n v="18"/>
    <n v="923"/>
    <n v="824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DA3C2-1138-4588-8BA4-CC9728B69865}" name="Сводная таблица3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12:C19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 numFmtId="168"/>
    <dataField name="Сумма по полю Товарооборот на склад" fld="7" baseField="0" baseItem="0"/>
  </dataFields>
  <formats count="1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B9A12-BF9E-4CED-A436-752BE7E3E9B9}" name="Сводная таблица2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 colHeaderCaption="Неделя">
  <location ref="J5:K9" firstHeaderRow="1" firstDataRow="1" firstDataCol="1" rowPageCount="1" colPageCount="1"/>
  <pivotFields count="9">
    <pivotField numFmtId="164" showAll="0"/>
    <pivotField axis="axisRow" showAll="0" measureFilter="1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Page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8" hier="-1"/>
  </pageFields>
  <dataFields count="1"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6169A-C67E-492F-BBB8-5B7E9200E0B4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 colHeaderCaption="Неделя">
  <location ref="A3:H8" firstHeaderRow="1" firstDataRow="2" firstDataCol="1"/>
  <pivotFields count="9">
    <pivotField numFmtId="164" showAll="0"/>
    <pivotField axis="axisRow" showAll="0" measureFilter="1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axis="axisCol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4">
    <i>
      <x v="12"/>
    </i>
    <i>
      <x v="13"/>
    </i>
    <i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baseField="0" baseItem="0" numFmtId="168"/>
  </dataFields>
  <formats count="3">
    <format dxfId="16">
      <pivotArea dataOnly="0" labelOnly="1" grandCol="1" outline="0" fieldPosition="0"/>
    </format>
    <format dxfId="15">
      <pivotArea dataOnly="0" labelOnly="1" fieldPosition="0">
        <references count="1">
          <reference field="8" count="0"/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5EE0-25CE-459A-BD69-04364CF71494}">
  <dimension ref="A1:K19"/>
  <sheetViews>
    <sheetView tabSelected="1" workbookViewId="0">
      <selection activeCell="C2" sqref="C2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38.140625" bestFit="1" customWidth="1"/>
    <col min="4" max="6" width="16.5703125" bestFit="1" customWidth="1"/>
    <col min="7" max="7" width="15.5703125" bestFit="1" customWidth="1"/>
    <col min="8" max="8" width="18.140625" bestFit="1" customWidth="1"/>
    <col min="9" max="9" width="10" bestFit="1" customWidth="1"/>
    <col min="10" max="10" width="22.85546875" bestFit="1" customWidth="1"/>
    <col min="11" max="11" width="38.140625" bestFit="1" customWidth="1"/>
    <col min="12" max="12" width="9" bestFit="1" customWidth="1"/>
    <col min="13" max="14" width="10" bestFit="1" customWidth="1"/>
    <col min="15" max="15" width="11" bestFit="1" customWidth="1"/>
    <col min="16" max="16" width="10" bestFit="1" customWidth="1"/>
    <col min="17" max="17" width="12" bestFit="1" customWidth="1"/>
    <col min="18" max="19" width="11" bestFit="1" customWidth="1"/>
    <col min="20" max="20" width="12" bestFit="1" customWidth="1"/>
    <col min="21" max="24" width="9" bestFit="1" customWidth="1"/>
    <col min="25" max="25" width="8" bestFit="1" customWidth="1"/>
    <col min="26" max="26" width="9" bestFit="1" customWidth="1"/>
    <col min="27" max="27" width="7" bestFit="1" customWidth="1"/>
    <col min="28" max="29" width="8" bestFit="1" customWidth="1"/>
    <col min="30" max="30" width="9" bestFit="1" customWidth="1"/>
    <col min="31" max="31" width="8" bestFit="1" customWidth="1"/>
    <col min="32" max="32" width="10" bestFit="1" customWidth="1"/>
    <col min="33" max="33" width="8" bestFit="1" customWidth="1"/>
    <col min="34" max="35" width="10" bestFit="1" customWidth="1"/>
    <col min="36" max="36" width="8" bestFit="1" customWidth="1"/>
    <col min="37" max="37" width="7" bestFit="1" customWidth="1"/>
    <col min="38" max="38" width="9" bestFit="1" customWidth="1"/>
    <col min="39" max="42" width="10" bestFit="1" customWidth="1"/>
    <col min="43" max="43" width="8" bestFit="1" customWidth="1"/>
    <col min="44" max="44" width="10" bestFit="1" customWidth="1"/>
    <col min="45" max="46" width="8" bestFit="1" customWidth="1"/>
    <col min="47" max="47" width="10" bestFit="1" customWidth="1"/>
    <col min="48" max="48" width="9" bestFit="1" customWidth="1"/>
    <col min="49" max="49" width="8" bestFit="1" customWidth="1"/>
    <col min="50" max="50" width="10" bestFit="1" customWidth="1"/>
    <col min="51" max="51" width="9" bestFit="1" customWidth="1"/>
    <col min="52" max="52" width="8" bestFit="1" customWidth="1"/>
    <col min="53" max="54" width="9" bestFit="1" customWidth="1"/>
    <col min="55" max="55" width="8" bestFit="1" customWidth="1"/>
    <col min="56" max="57" width="10" bestFit="1" customWidth="1"/>
    <col min="58" max="58" width="8" bestFit="1" customWidth="1"/>
    <col min="59" max="59" width="9" bestFit="1" customWidth="1"/>
    <col min="60" max="63" width="10" bestFit="1" customWidth="1"/>
    <col min="64" max="64" width="8" bestFit="1" customWidth="1"/>
    <col min="65" max="66" width="10" bestFit="1" customWidth="1"/>
    <col min="67" max="67" width="8" bestFit="1" customWidth="1"/>
    <col min="68" max="68" width="10" bestFit="1" customWidth="1"/>
    <col min="69" max="69" width="8" bestFit="1" customWidth="1"/>
    <col min="70" max="70" width="9" bestFit="1" customWidth="1"/>
    <col min="71" max="71" width="10" bestFit="1" customWidth="1"/>
    <col min="72" max="73" width="9" bestFit="1" customWidth="1"/>
    <col min="74" max="74" width="8" bestFit="1" customWidth="1"/>
    <col min="75" max="75" width="10" bestFit="1" customWidth="1"/>
    <col min="76" max="76" width="9" bestFit="1" customWidth="1"/>
    <col min="77" max="78" width="8" bestFit="1" customWidth="1"/>
    <col min="79" max="79" width="9" bestFit="1" customWidth="1"/>
    <col min="80" max="80" width="7" bestFit="1" customWidth="1"/>
    <col min="81" max="81" width="8" bestFit="1" customWidth="1"/>
    <col min="82" max="83" width="10" bestFit="1" customWidth="1"/>
    <col min="84" max="84" width="8" bestFit="1" customWidth="1"/>
    <col min="85" max="85" width="9" bestFit="1" customWidth="1"/>
    <col min="86" max="87" width="8" bestFit="1" customWidth="1"/>
    <col min="88" max="88" width="10" bestFit="1" customWidth="1"/>
    <col min="89" max="90" width="8" bestFit="1" customWidth="1"/>
    <col min="91" max="91" width="10" bestFit="1" customWidth="1"/>
    <col min="92" max="92" width="8" bestFit="1" customWidth="1"/>
    <col min="93" max="93" width="10" bestFit="1" customWidth="1"/>
    <col min="94" max="94" width="8" bestFit="1" customWidth="1"/>
    <col min="95" max="96" width="10" bestFit="1" customWidth="1"/>
    <col min="97" max="97" width="9" bestFit="1" customWidth="1"/>
    <col min="98" max="98" width="8" bestFit="1" customWidth="1"/>
    <col min="99" max="99" width="9" bestFit="1" customWidth="1"/>
    <col min="100" max="100" width="8" bestFit="1" customWidth="1"/>
    <col min="101" max="103" width="9" bestFit="1" customWidth="1"/>
    <col min="104" max="107" width="10" bestFit="1" customWidth="1"/>
    <col min="108" max="108" width="9" bestFit="1" customWidth="1"/>
    <col min="109" max="110" width="10" bestFit="1" customWidth="1"/>
    <col min="111" max="111" width="9" bestFit="1" customWidth="1"/>
    <col min="112" max="113" width="10" bestFit="1" customWidth="1"/>
    <col min="114" max="114" width="8" bestFit="1" customWidth="1"/>
    <col min="115" max="115" width="10" bestFit="1" customWidth="1"/>
    <col min="116" max="116" width="8" bestFit="1" customWidth="1"/>
    <col min="117" max="117" width="9" bestFit="1" customWidth="1"/>
    <col min="118" max="118" width="10" bestFit="1" customWidth="1"/>
    <col min="119" max="119" width="9" bestFit="1" customWidth="1"/>
    <col min="120" max="122" width="10" bestFit="1" customWidth="1"/>
    <col min="123" max="123" width="8" bestFit="1" customWidth="1"/>
    <col min="124" max="124" width="9" bestFit="1" customWidth="1"/>
    <col min="125" max="125" width="8" bestFit="1" customWidth="1"/>
    <col min="126" max="127" width="10" bestFit="1" customWidth="1"/>
    <col min="128" max="128" width="8" bestFit="1" customWidth="1"/>
    <col min="129" max="129" width="9" bestFit="1" customWidth="1"/>
    <col min="130" max="130" width="8" bestFit="1" customWidth="1"/>
    <col min="131" max="131" width="10" bestFit="1" customWidth="1"/>
    <col min="132" max="132" width="9" bestFit="1" customWidth="1"/>
    <col min="133" max="135" width="10" bestFit="1" customWidth="1"/>
    <col min="136" max="136" width="9" bestFit="1" customWidth="1"/>
    <col min="137" max="137" width="8" bestFit="1" customWidth="1"/>
    <col min="138" max="138" width="9" bestFit="1" customWidth="1"/>
    <col min="139" max="140" width="10" bestFit="1" customWidth="1"/>
    <col min="141" max="141" width="9" bestFit="1" customWidth="1"/>
    <col min="142" max="142" width="8" bestFit="1" customWidth="1"/>
    <col min="143" max="157" width="10" bestFit="1" customWidth="1"/>
    <col min="158" max="158" width="8" bestFit="1" customWidth="1"/>
    <col min="159" max="162" width="10" bestFit="1" customWidth="1"/>
    <col min="163" max="164" width="9" bestFit="1" customWidth="1"/>
    <col min="165" max="171" width="10" bestFit="1" customWidth="1"/>
    <col min="172" max="172" width="9" bestFit="1" customWidth="1"/>
    <col min="173" max="184" width="10" bestFit="1" customWidth="1"/>
    <col min="185" max="185" width="8" bestFit="1" customWidth="1"/>
    <col min="186" max="187" width="10" bestFit="1" customWidth="1"/>
    <col min="188" max="188" width="8" bestFit="1" customWidth="1"/>
    <col min="189" max="189" width="9" bestFit="1" customWidth="1"/>
    <col min="190" max="190" width="8" bestFit="1" customWidth="1"/>
    <col min="191" max="191" width="9" bestFit="1" customWidth="1"/>
    <col min="192" max="201" width="10" bestFit="1" customWidth="1"/>
    <col min="202" max="202" width="9" bestFit="1" customWidth="1"/>
    <col min="203" max="244" width="10" bestFit="1" customWidth="1"/>
    <col min="245" max="245" width="9" bestFit="1" customWidth="1"/>
    <col min="246" max="250" width="10" bestFit="1" customWidth="1"/>
    <col min="251" max="251" width="9" bestFit="1" customWidth="1"/>
    <col min="252" max="253" width="10" bestFit="1" customWidth="1"/>
    <col min="254" max="254" width="9" bestFit="1" customWidth="1"/>
    <col min="255" max="269" width="10" bestFit="1" customWidth="1"/>
    <col min="270" max="270" width="9" bestFit="1" customWidth="1"/>
    <col min="271" max="271" width="8" bestFit="1" customWidth="1"/>
    <col min="272" max="278" width="10" bestFit="1" customWidth="1"/>
    <col min="279" max="279" width="9" bestFit="1" customWidth="1"/>
    <col min="280" max="288" width="10" bestFit="1" customWidth="1"/>
    <col min="289" max="289" width="8" bestFit="1" customWidth="1"/>
    <col min="290" max="295" width="10" bestFit="1" customWidth="1"/>
    <col min="296" max="296" width="8" bestFit="1" customWidth="1"/>
    <col min="297" max="301" width="10" bestFit="1" customWidth="1"/>
    <col min="302" max="302" width="9" bestFit="1" customWidth="1"/>
    <col min="303" max="303" width="8" bestFit="1" customWidth="1"/>
    <col min="304" max="308" width="10" bestFit="1" customWidth="1"/>
    <col min="309" max="309" width="9" bestFit="1" customWidth="1"/>
    <col min="310" max="314" width="10" bestFit="1" customWidth="1"/>
    <col min="315" max="315" width="8" bestFit="1" customWidth="1"/>
    <col min="316" max="317" width="10" bestFit="1" customWidth="1"/>
    <col min="318" max="318" width="11" bestFit="1" customWidth="1"/>
    <col min="319" max="319" width="10" bestFit="1" customWidth="1"/>
    <col min="320" max="320" width="12" bestFit="1" customWidth="1"/>
    <col min="321" max="321" width="10" bestFit="1" customWidth="1"/>
    <col min="322" max="322" width="8" bestFit="1" customWidth="1"/>
    <col min="323" max="333" width="10" bestFit="1" customWidth="1"/>
    <col min="334" max="334" width="11" bestFit="1" customWidth="1"/>
    <col min="335" max="337" width="10" bestFit="1" customWidth="1"/>
    <col min="338" max="338" width="11" bestFit="1" customWidth="1"/>
    <col min="339" max="340" width="10" bestFit="1" customWidth="1"/>
    <col min="341" max="341" width="11" bestFit="1" customWidth="1"/>
    <col min="342" max="342" width="12" bestFit="1" customWidth="1"/>
    <col min="343" max="344" width="10" bestFit="1" customWidth="1"/>
    <col min="345" max="345" width="12" bestFit="1" customWidth="1"/>
    <col min="346" max="347" width="10" bestFit="1" customWidth="1"/>
    <col min="348" max="348" width="9" bestFit="1" customWidth="1"/>
    <col min="349" max="353" width="10" bestFit="1" customWidth="1"/>
    <col min="354" max="354" width="11" bestFit="1" customWidth="1"/>
    <col min="355" max="355" width="10" bestFit="1" customWidth="1"/>
    <col min="356" max="356" width="11" bestFit="1" customWidth="1"/>
    <col min="357" max="357" width="12" bestFit="1" customWidth="1"/>
    <col min="358" max="364" width="10" bestFit="1" customWidth="1"/>
    <col min="365" max="365" width="12" bestFit="1" customWidth="1"/>
    <col min="366" max="370" width="10" bestFit="1" customWidth="1"/>
    <col min="371" max="371" width="9" bestFit="1" customWidth="1"/>
    <col min="372" max="373" width="10" bestFit="1" customWidth="1"/>
    <col min="374" max="374" width="12" bestFit="1" customWidth="1"/>
    <col min="375" max="375" width="11" bestFit="1" customWidth="1"/>
    <col min="376" max="376" width="10" bestFit="1" customWidth="1"/>
    <col min="377" max="377" width="12" bestFit="1" customWidth="1"/>
    <col min="378" max="383" width="10" bestFit="1" customWidth="1"/>
    <col min="384" max="385" width="11" bestFit="1" customWidth="1"/>
    <col min="386" max="393" width="10" bestFit="1" customWidth="1"/>
    <col min="394" max="395" width="9" bestFit="1" customWidth="1"/>
    <col min="396" max="397" width="10" bestFit="1" customWidth="1"/>
    <col min="398" max="398" width="12" bestFit="1" customWidth="1"/>
    <col min="399" max="399" width="11" bestFit="1" customWidth="1"/>
    <col min="400" max="401" width="10" bestFit="1" customWidth="1"/>
    <col min="402" max="402" width="11" bestFit="1" customWidth="1"/>
    <col min="403" max="403" width="10" bestFit="1" customWidth="1"/>
    <col min="404" max="404" width="9" bestFit="1" customWidth="1"/>
    <col min="405" max="405" width="11" bestFit="1" customWidth="1"/>
    <col min="406" max="407" width="10" bestFit="1" customWidth="1"/>
    <col min="408" max="408" width="9" bestFit="1" customWidth="1"/>
    <col min="409" max="409" width="11" bestFit="1" customWidth="1"/>
    <col min="410" max="410" width="9" bestFit="1" customWidth="1"/>
    <col min="411" max="412" width="12" bestFit="1" customWidth="1"/>
    <col min="413" max="413" width="11" bestFit="1" customWidth="1"/>
    <col min="414" max="414" width="10" bestFit="1" customWidth="1"/>
    <col min="415" max="416" width="11" bestFit="1" customWidth="1"/>
    <col min="417" max="417" width="10" bestFit="1" customWidth="1"/>
    <col min="418" max="418" width="11" bestFit="1" customWidth="1"/>
    <col min="419" max="419" width="10" bestFit="1" customWidth="1"/>
    <col min="420" max="420" width="9" bestFit="1" customWidth="1"/>
    <col min="421" max="421" width="10" bestFit="1" customWidth="1"/>
    <col min="422" max="423" width="11" bestFit="1" customWidth="1"/>
    <col min="424" max="426" width="10" bestFit="1" customWidth="1"/>
    <col min="427" max="429" width="11" bestFit="1" customWidth="1"/>
    <col min="430" max="430" width="12" bestFit="1" customWidth="1"/>
    <col min="431" max="431" width="10" bestFit="1" customWidth="1"/>
    <col min="432" max="432" width="11" bestFit="1" customWidth="1"/>
    <col min="433" max="433" width="9" bestFit="1" customWidth="1"/>
    <col min="434" max="435" width="11" bestFit="1" customWidth="1"/>
    <col min="436" max="438" width="10" bestFit="1" customWidth="1"/>
    <col min="439" max="439" width="11" bestFit="1" customWidth="1"/>
    <col min="440" max="441" width="10" bestFit="1" customWidth="1"/>
    <col min="442" max="442" width="11" bestFit="1" customWidth="1"/>
    <col min="443" max="443" width="10" bestFit="1" customWidth="1"/>
    <col min="444" max="446" width="11" bestFit="1" customWidth="1"/>
    <col min="447" max="447" width="10" bestFit="1" customWidth="1"/>
    <col min="448" max="451" width="11" bestFit="1" customWidth="1"/>
    <col min="452" max="452" width="10" bestFit="1" customWidth="1"/>
    <col min="453" max="454" width="11" bestFit="1" customWidth="1"/>
    <col min="455" max="455" width="9" bestFit="1" customWidth="1"/>
    <col min="456" max="456" width="11" bestFit="1" customWidth="1"/>
    <col min="457" max="457" width="9" bestFit="1" customWidth="1"/>
    <col min="458" max="460" width="10" bestFit="1" customWidth="1"/>
    <col min="461" max="461" width="11" bestFit="1" customWidth="1"/>
    <col min="462" max="463" width="10" bestFit="1" customWidth="1"/>
    <col min="464" max="465" width="11" bestFit="1" customWidth="1"/>
    <col min="466" max="466" width="9" bestFit="1" customWidth="1"/>
    <col min="467" max="467" width="11" bestFit="1" customWidth="1"/>
    <col min="468" max="468" width="10" bestFit="1" customWidth="1"/>
    <col min="469" max="469" width="11" bestFit="1" customWidth="1"/>
    <col min="470" max="470" width="10" bestFit="1" customWidth="1"/>
    <col min="471" max="471" width="11" bestFit="1" customWidth="1"/>
    <col min="472" max="472" width="9" bestFit="1" customWidth="1"/>
    <col min="473" max="477" width="11" bestFit="1" customWidth="1"/>
    <col min="478" max="478" width="10" bestFit="1" customWidth="1"/>
    <col min="479" max="480" width="11" bestFit="1" customWidth="1"/>
    <col min="481" max="481" width="10" bestFit="1" customWidth="1"/>
    <col min="482" max="482" width="11" bestFit="1" customWidth="1"/>
    <col min="483" max="484" width="10" bestFit="1" customWidth="1"/>
    <col min="485" max="487" width="11" bestFit="1" customWidth="1"/>
    <col min="488" max="488" width="10" bestFit="1" customWidth="1"/>
    <col min="489" max="495" width="11" bestFit="1" customWidth="1"/>
    <col min="496" max="497" width="10" bestFit="1" customWidth="1"/>
    <col min="498" max="498" width="9" bestFit="1" customWidth="1"/>
    <col min="499" max="499" width="10" bestFit="1" customWidth="1"/>
    <col min="500" max="500" width="9" bestFit="1" customWidth="1"/>
    <col min="501" max="501" width="10" bestFit="1" customWidth="1"/>
    <col min="502" max="504" width="11" bestFit="1" customWidth="1"/>
    <col min="505" max="505" width="9" bestFit="1" customWidth="1"/>
    <col min="506" max="506" width="12" bestFit="1" customWidth="1"/>
    <col min="507" max="507" width="10" bestFit="1" customWidth="1"/>
    <col min="508" max="508" width="12" bestFit="1" customWidth="1"/>
    <col min="509" max="510" width="11" bestFit="1" customWidth="1"/>
    <col min="511" max="512" width="12" bestFit="1" customWidth="1"/>
  </cols>
  <sheetData>
    <row r="1" spans="1:11" ht="15.75" x14ac:dyDescent="0.25">
      <c r="A1" s="17" t="s">
        <v>32</v>
      </c>
      <c r="J1" s="17" t="s">
        <v>31</v>
      </c>
    </row>
    <row r="3" spans="1:11" x14ac:dyDescent="0.25">
      <c r="A3" s="14" t="s">
        <v>30</v>
      </c>
      <c r="B3" s="14" t="s">
        <v>8</v>
      </c>
      <c r="J3" s="14" t="s">
        <v>8</v>
      </c>
      <c r="K3" s="15">
        <v>23</v>
      </c>
    </row>
    <row r="4" spans="1:11" x14ac:dyDescent="0.25">
      <c r="A4" s="14" t="s">
        <v>1</v>
      </c>
      <c r="B4" s="13">
        <v>18</v>
      </c>
      <c r="C4" s="13">
        <v>19</v>
      </c>
      <c r="D4" s="13">
        <v>20</v>
      </c>
      <c r="E4" s="13">
        <v>21</v>
      </c>
      <c r="F4" s="13">
        <v>22</v>
      </c>
      <c r="G4" s="13">
        <v>23</v>
      </c>
      <c r="H4" s="16" t="s">
        <v>28</v>
      </c>
    </row>
    <row r="5" spans="1:11" x14ac:dyDescent="0.25">
      <c r="A5" s="15" t="s">
        <v>15</v>
      </c>
      <c r="B5" s="18">
        <v>233059077</v>
      </c>
      <c r="C5" s="18">
        <v>272762503.5</v>
      </c>
      <c r="D5" s="18">
        <v>269949999</v>
      </c>
      <c r="E5" s="18">
        <v>275539431.56999999</v>
      </c>
      <c r="F5" s="18">
        <v>292155049.5</v>
      </c>
      <c r="G5" s="18">
        <v>37257840.18135</v>
      </c>
      <c r="H5" s="18">
        <v>1380723900.7513499</v>
      </c>
      <c r="J5" s="14" t="s">
        <v>1</v>
      </c>
      <c r="K5" t="s">
        <v>29</v>
      </c>
    </row>
    <row r="6" spans="1:11" x14ac:dyDescent="0.25">
      <c r="A6" s="15" t="s">
        <v>14</v>
      </c>
      <c r="B6" s="18">
        <v>176269533</v>
      </c>
      <c r="C6" s="18">
        <v>208128393.85664999</v>
      </c>
      <c r="D6" s="18">
        <v>199569624.22395</v>
      </c>
      <c r="E6" s="18">
        <v>204608809.47659999</v>
      </c>
      <c r="F6" s="18">
        <v>219265928.75384998</v>
      </c>
      <c r="G6" s="18">
        <v>27770092.5</v>
      </c>
      <c r="H6" s="18">
        <v>1035612381.8110499</v>
      </c>
      <c r="J6" s="15" t="s">
        <v>22</v>
      </c>
      <c r="K6" s="13">
        <v>350262.86</v>
      </c>
    </row>
    <row r="7" spans="1:11" x14ac:dyDescent="0.25">
      <c r="A7" s="15" t="s">
        <v>21</v>
      </c>
      <c r="B7" s="18">
        <v>136791225</v>
      </c>
      <c r="C7" s="18">
        <v>159695760</v>
      </c>
      <c r="D7" s="18">
        <v>142825023</v>
      </c>
      <c r="E7" s="18">
        <v>157512358.5</v>
      </c>
      <c r="F7" s="18">
        <v>157857214.5</v>
      </c>
      <c r="G7" s="18">
        <v>19465372.5</v>
      </c>
      <c r="H7" s="18">
        <v>774146953.5</v>
      </c>
      <c r="J7" s="15" t="s">
        <v>21</v>
      </c>
      <c r="K7" s="13">
        <v>329921.57</v>
      </c>
    </row>
    <row r="8" spans="1:11" x14ac:dyDescent="0.25">
      <c r="A8" s="15" t="s">
        <v>28</v>
      </c>
      <c r="B8" s="18">
        <v>546119835</v>
      </c>
      <c r="C8" s="18">
        <v>640586657.35664999</v>
      </c>
      <c r="D8" s="18">
        <v>612344646.22395003</v>
      </c>
      <c r="E8" s="18">
        <v>637660599.54659998</v>
      </c>
      <c r="F8" s="18">
        <v>669278192.75384998</v>
      </c>
      <c r="G8" s="18">
        <v>84493305.181349993</v>
      </c>
      <c r="H8" s="18">
        <v>3190483236.0623999</v>
      </c>
      <c r="J8" s="15" t="s">
        <v>15</v>
      </c>
      <c r="K8" s="13">
        <v>302909.27</v>
      </c>
    </row>
    <row r="9" spans="1:11" x14ac:dyDescent="0.25">
      <c r="J9" s="15" t="s">
        <v>28</v>
      </c>
      <c r="K9" s="13">
        <v>983093.7</v>
      </c>
    </row>
    <row r="12" spans="1:11" x14ac:dyDescent="0.25">
      <c r="A12" s="14" t="s">
        <v>27</v>
      </c>
      <c r="B12" t="s">
        <v>30</v>
      </c>
      <c r="C12" t="s">
        <v>29</v>
      </c>
    </row>
    <row r="13" spans="1:11" x14ac:dyDescent="0.25">
      <c r="A13" s="15">
        <v>18</v>
      </c>
      <c r="B13" s="18">
        <v>836803032</v>
      </c>
      <c r="C13" s="13">
        <v>15050189.540000005</v>
      </c>
    </row>
    <row r="14" spans="1:11" x14ac:dyDescent="0.25">
      <c r="A14" s="15">
        <v>19</v>
      </c>
      <c r="B14" s="18">
        <v>983915409.85664999</v>
      </c>
      <c r="C14" s="13">
        <v>17810866.510000002</v>
      </c>
    </row>
    <row r="15" spans="1:11" x14ac:dyDescent="0.25">
      <c r="A15" s="15">
        <v>20</v>
      </c>
      <c r="B15" s="18">
        <v>947263006.72395003</v>
      </c>
      <c r="C15" s="13">
        <v>17504431.260000002</v>
      </c>
    </row>
    <row r="16" spans="1:11" x14ac:dyDescent="0.25">
      <c r="A16" s="15">
        <v>21</v>
      </c>
      <c r="B16" s="18">
        <v>1002691883.0466</v>
      </c>
      <c r="C16" s="13">
        <v>18752594.790000003</v>
      </c>
    </row>
    <row r="17" spans="1:3" x14ac:dyDescent="0.25">
      <c r="A17" s="15">
        <v>22</v>
      </c>
      <c r="B17" s="18">
        <v>1055653508.75385</v>
      </c>
      <c r="C17" s="13">
        <v>20458986.969999999</v>
      </c>
    </row>
    <row r="18" spans="1:3" x14ac:dyDescent="0.25">
      <c r="A18" s="15">
        <v>23</v>
      </c>
      <c r="B18" s="18">
        <v>136032376.68134999</v>
      </c>
      <c r="C18" s="13">
        <v>2786041.44</v>
      </c>
    </row>
    <row r="19" spans="1:3" x14ac:dyDescent="0.25">
      <c r="A19" s="15" t="s">
        <v>28</v>
      </c>
      <c r="B19" s="18">
        <v>4962359217.0623999</v>
      </c>
      <c r="C19" s="13">
        <v>92363110.510000005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J2" sqref="J2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5" bestFit="1" customWidth="1"/>
    <col min="9" max="9" width="10.28515625" bestFit="1" customWidth="1"/>
    <col min="10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 s="7" cm="1">
        <f t="array" ref="E2">_xlfn.XLOOKUP($A2&amp;$B2,Лист2!$A:$A &amp; Лист2!$B:$B,Лист2!C:C)</f>
        <v>15</v>
      </c>
      <c r="F2" s="7" cm="1">
        <f t="array" ref="F2">_xlfn.XLOOKUP($A2&amp;$B2,Лист2!$A:$A &amp; Лист2!$B:$B,Лист2!D:D)</f>
        <v>441</v>
      </c>
      <c r="G2" s="7" cm="1">
        <f t="array" ref="G2">_xlfn.XLOOKUP($A2&amp;$B2,Лист2!$A:$A &amp; Лист2!$B:$B,Лист2!E:E)</f>
        <v>368</v>
      </c>
      <c r="H2">
        <f>ROUND(D2/E2,2)</f>
        <v>41598.1</v>
      </c>
      <c r="I2">
        <f>WEEKNUM(A2,2)</f>
        <v>22</v>
      </c>
    </row>
    <row r="3" spans="1:24" ht="14.25" customHeight="1" x14ac:dyDescent="0.25">
      <c r="A3" s="8">
        <v>43981</v>
      </c>
      <c r="B3" s="9" t="s">
        <v>9</v>
      </c>
      <c r="C3" s="9">
        <v>10029</v>
      </c>
      <c r="D3" s="9">
        <v>787101</v>
      </c>
      <c r="E3" s="7" cm="1">
        <f t="array" ref="E3">_xlfn.XLOOKUP($A3&amp;$B3,Лист2!$A:$A &amp; Лист2!$B:$B,Лист2!C:C)</f>
        <v>15</v>
      </c>
      <c r="F3" s="7" cm="1">
        <f t="array" ref="F3">_xlfn.XLOOKUP($A3&amp;$B3,Лист2!$A:$A &amp; Лист2!$B:$B,Лист2!D:D)</f>
        <v>490</v>
      </c>
      <c r="G3" s="7" cm="1">
        <f t="array" ref="G3">_xlfn.XLOOKUP($A3&amp;$B3,Лист2!$A:$A &amp; Лист2!$B:$B,Лист2!E:E)</f>
        <v>409</v>
      </c>
      <c r="H3">
        <f t="shared" ref="H3:H66" si="0">ROUND(D3/E3,2)</f>
        <v>52473.4</v>
      </c>
      <c r="I3">
        <f t="shared" ref="I3:I66" si="1">WEEKNUM(A3,2)</f>
        <v>22</v>
      </c>
    </row>
    <row r="4" spans="1:24" ht="14.25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 s="7" cm="1">
        <f t="array" ref="E4">_xlfn.XLOOKUP($A4&amp;$B4,Лист2!$A:$A &amp; Лист2!$B:$B,Лист2!C:C)</f>
        <v>15</v>
      </c>
      <c r="F4" s="7" cm="1">
        <f t="array" ref="F4">_xlfn.XLOOKUP($A4&amp;$B4,Лист2!$A:$A &amp; Лист2!$B:$B,Лист2!D:D)</f>
        <v>464</v>
      </c>
      <c r="G4" s="7" cm="1">
        <f t="array" ref="G4">_xlfn.XLOOKUP($A4&amp;$B4,Лист2!$A:$A &amp; Лист2!$B:$B,Лист2!E:E)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25">
      <c r="A5" s="8">
        <v>43967</v>
      </c>
      <c r="B5" s="9" t="s">
        <v>10</v>
      </c>
      <c r="C5" s="9">
        <v>38947.5</v>
      </c>
      <c r="D5" s="9">
        <v>3395892</v>
      </c>
      <c r="E5" s="7" cm="1">
        <f t="array" ref="E5">_xlfn.XLOOKUP($A5&amp;$B5,Лист2!$A:$A &amp; Лист2!$B:$B,Лист2!C:C)</f>
        <v>21</v>
      </c>
      <c r="F5" s="7" cm="1">
        <f t="array" ref="F5">_xlfn.XLOOKUP($A5&amp;$B5,Лист2!$A:$A &amp; Лист2!$B:$B,Лист2!D:D)</f>
        <v>2145</v>
      </c>
      <c r="G5" s="7" cm="1">
        <f t="array" ref="G5">_xlfn.XLOOKUP($A5&amp;$B5,Лист2!$A:$A &amp; Лист2!$B:$B,Лист2!E:E)</f>
        <v>1947</v>
      </c>
      <c r="H5">
        <f t="shared" si="0"/>
        <v>161709.14000000001</v>
      </c>
      <c r="I5">
        <f t="shared" si="1"/>
        <v>20</v>
      </c>
    </row>
    <row r="6" spans="1:24" ht="14.25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 s="7" cm="1">
        <f t="array" ref="E6">_xlfn.XLOOKUP($A6&amp;$B6,Лист2!$A:$A &amp; Лист2!$B:$B,Лист2!C:C)</f>
        <v>21</v>
      </c>
      <c r="F6" s="7" cm="1">
        <f t="array" ref="F6">_xlfn.XLOOKUP($A6&amp;$B6,Лист2!$A:$A &amp; Лист2!$B:$B,Лист2!D:D)</f>
        <v>1860</v>
      </c>
      <c r="G6" s="7" cm="1">
        <f t="array" ref="G6">_xlfn.XLOOKUP($A6&amp;$B6,Лист2!$A:$A &amp; Лист2!$B:$B,Лист2!E:E)</f>
        <v>1704</v>
      </c>
      <c r="H6">
        <f t="shared" si="0"/>
        <v>131957.93</v>
      </c>
      <c r="I6">
        <f t="shared" si="1"/>
        <v>21</v>
      </c>
    </row>
    <row r="7" spans="1:24" ht="14.25" customHeight="1" x14ac:dyDescent="0.25">
      <c r="A7" s="8">
        <v>43968</v>
      </c>
      <c r="B7" s="9" t="s">
        <v>10</v>
      </c>
      <c r="C7" s="9">
        <v>32023.5</v>
      </c>
      <c r="D7" s="9">
        <v>2882458.5</v>
      </c>
      <c r="E7" s="7" cm="1">
        <f t="array" ref="E7">_xlfn.XLOOKUP($A7&amp;$B7,Лист2!$A:$A &amp; Лист2!$B:$B,Лист2!C:C)</f>
        <v>21</v>
      </c>
      <c r="F7" s="7" cm="1">
        <f t="array" ref="F7">_xlfn.XLOOKUP($A7&amp;$B7,Лист2!$A:$A &amp; Лист2!$B:$B,Лист2!D:D)</f>
        <v>1874</v>
      </c>
      <c r="G7" s="7" cm="1">
        <f t="array" ref="G7">_xlfn.XLOOKUP($A7&amp;$B7,Лист2!$A:$A &amp; Лист2!$B:$B,Лист2!E:E)</f>
        <v>1705</v>
      </c>
      <c r="H7">
        <f t="shared" si="0"/>
        <v>137259.93</v>
      </c>
      <c r="I7">
        <f t="shared" si="1"/>
        <v>20</v>
      </c>
    </row>
    <row r="8" spans="1:24" ht="14.25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 s="7" cm="1">
        <f t="array" ref="E8">_xlfn.XLOOKUP($A8&amp;$B8,Лист2!$A:$A &amp; Лист2!$B:$B,Лист2!C:C)</f>
        <v>21</v>
      </c>
      <c r="F8" s="7" cm="1">
        <f t="array" ref="F8">_xlfn.XLOOKUP($A8&amp;$B8,Лист2!$A:$A &amp; Лист2!$B:$B,Лист2!D:D)</f>
        <v>1735</v>
      </c>
      <c r="G8" s="7" cm="1">
        <f t="array" ref="G8">_xlfn.XLOOKUP($A8&amp;$B8,Лист2!$A:$A &amp; Лист2!$B:$B,Лист2!E:E)</f>
        <v>1568</v>
      </c>
      <c r="H8">
        <f t="shared" si="0"/>
        <v>134810.43</v>
      </c>
      <c r="I8">
        <f t="shared" si="1"/>
        <v>19</v>
      </c>
    </row>
    <row r="9" spans="1:24" ht="14.25" customHeight="1" x14ac:dyDescent="0.25">
      <c r="A9" s="8">
        <v>43955</v>
      </c>
      <c r="B9" s="9" t="s">
        <v>10</v>
      </c>
      <c r="C9" s="9">
        <v>25566</v>
      </c>
      <c r="D9" s="9">
        <v>2372310</v>
      </c>
      <c r="E9" s="7" cm="1">
        <f t="array" ref="E9">_xlfn.XLOOKUP($A9&amp;$B9,Лист2!$A:$A &amp; Лист2!$B:$B,Лист2!C:C)</f>
        <v>20</v>
      </c>
      <c r="F9" s="7" cm="1">
        <f t="array" ref="F9">_xlfn.XLOOKUP($A9&amp;$B9,Лист2!$A:$A &amp; Лист2!$B:$B,Лист2!D:D)</f>
        <v>1519</v>
      </c>
      <c r="G9" s="7" cm="1">
        <f t="array" ref="G9">_xlfn.XLOOKUP($A9&amp;$B9,Лист2!$A:$A &amp; Лист2!$B:$B,Лист2!E:E)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 s="7" cm="1">
        <f t="array" ref="E10">_xlfn.XLOOKUP($A10&amp;$B10,Лист2!$A:$A &amp; Лист2!$B:$B,Лист2!C:C)</f>
        <v>18</v>
      </c>
      <c r="F10" s="7" cm="1">
        <f t="array" ref="F10">_xlfn.XLOOKUP($A10&amp;$B10,Лист2!$A:$A &amp; Лист2!$B:$B,Лист2!D:D)</f>
        <v>1684</v>
      </c>
      <c r="G10" s="7" cm="1">
        <f t="array" ref="G10">_xlfn.XLOOKUP($A10&amp;$B10,Лист2!$A:$A &amp; Лист2!$B:$B,Лист2!E:E)</f>
        <v>1528</v>
      </c>
      <c r="H10">
        <f t="shared" si="0"/>
        <v>145748.92000000001</v>
      </c>
      <c r="I10">
        <f t="shared" si="1"/>
        <v>18</v>
      </c>
    </row>
    <row r="11" spans="1:24" ht="14.25" customHeight="1" x14ac:dyDescent="0.25">
      <c r="A11" s="8">
        <v>43953</v>
      </c>
      <c r="B11" s="9" t="s">
        <v>10</v>
      </c>
      <c r="C11" s="9">
        <v>29031</v>
      </c>
      <c r="D11" s="9">
        <v>2711247</v>
      </c>
      <c r="E11" s="7" cm="1">
        <f t="array" ref="E11">_xlfn.XLOOKUP($A11&amp;$B11,Лист2!$A:$A &amp; Лист2!$B:$B,Лист2!C:C)</f>
        <v>18</v>
      </c>
      <c r="F11" s="7" cm="1">
        <f t="array" ref="F11">_xlfn.XLOOKUP($A11&amp;$B11,Лист2!$A:$A &amp; Лист2!$B:$B,Лист2!D:D)</f>
        <v>1708</v>
      </c>
      <c r="G11" s="7" cm="1">
        <f t="array" ref="G11">_xlfn.XLOOKUP($A11&amp;$B11,Лист2!$A:$A &amp; Лист2!$B:$B,Лист2!E:E)</f>
        <v>1534</v>
      </c>
      <c r="H11">
        <f t="shared" si="0"/>
        <v>150624.82999999999</v>
      </c>
      <c r="I11">
        <f t="shared" si="1"/>
        <v>18</v>
      </c>
    </row>
    <row r="12" spans="1:24" ht="14.25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 s="7" cm="1">
        <f t="array" ref="E12">_xlfn.XLOOKUP($A12&amp;$B12,Лист2!$A:$A &amp; Лист2!$B:$B,Лист2!C:C)</f>
        <v>20</v>
      </c>
      <c r="F12" s="7" cm="1">
        <f t="array" ref="F12">_xlfn.XLOOKUP($A12&amp;$B12,Лист2!$A:$A &amp; Лист2!$B:$B,Лист2!D:D)</f>
        <v>2044</v>
      </c>
      <c r="G12" s="7" cm="1">
        <f t="array" ref="G12">_xlfn.XLOOKUP($A12&amp;$B12,Лист2!$A:$A &amp; Лист2!$B:$B,Лист2!E:E)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25">
      <c r="A13" s="8">
        <v>43952</v>
      </c>
      <c r="B13" s="9" t="s">
        <v>10</v>
      </c>
      <c r="C13" s="9">
        <v>32487</v>
      </c>
      <c r="D13" s="9">
        <v>3031254</v>
      </c>
      <c r="E13" s="7" cm="1">
        <f t="array" ref="E13">_xlfn.XLOOKUP($A13&amp;$B13,Лист2!$A:$A &amp; Лист2!$B:$B,Лист2!C:C)</f>
        <v>18</v>
      </c>
      <c r="F13" s="7" cm="1">
        <f t="array" ref="F13">_xlfn.XLOOKUP($A13&amp;$B13,Лист2!$A:$A &amp; Лист2!$B:$B,Лист2!D:D)</f>
        <v>1826</v>
      </c>
      <c r="G13" s="7" cm="1">
        <f t="array" ref="G13">_xlfn.XLOOKUP($A13&amp;$B13,Лист2!$A:$A &amp; Лист2!$B:$B,Лист2!E:E)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 s="7" cm="1">
        <f t="array" ref="E14">_xlfn.XLOOKUP($A14&amp;$B14,Лист2!$A:$A &amp; Лист2!$B:$B,Лист2!C:C)</f>
        <v>21</v>
      </c>
      <c r="F14" s="7" cm="1">
        <f t="array" ref="F14">_xlfn.XLOOKUP($A14&amp;$B14,Лист2!$A:$A &amp; Лист2!$B:$B,Лист2!D:D)</f>
        <v>1656</v>
      </c>
      <c r="G14" s="7" cm="1">
        <f t="array" ref="G14">_xlfn.XLOOKUP($A14&amp;$B14,Лист2!$A:$A &amp; Лист2!$B:$B,Лист2!E:E)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25">
      <c r="A15" s="8">
        <v>43972</v>
      </c>
      <c r="B15" s="9" t="s">
        <v>10</v>
      </c>
      <c r="C15" s="9">
        <v>31272</v>
      </c>
      <c r="D15" s="9">
        <v>2744382</v>
      </c>
      <c r="E15" s="7" cm="1">
        <f t="array" ref="E15">_xlfn.XLOOKUP($A15&amp;$B15,Лист2!$A:$A &amp; Лист2!$B:$B,Лист2!C:C)</f>
        <v>21</v>
      </c>
      <c r="F15" s="7" cm="1">
        <f t="array" ref="F15">_xlfn.XLOOKUP($A15&amp;$B15,Лист2!$A:$A &amp; Лист2!$B:$B,Лист2!D:D)</f>
        <v>1787</v>
      </c>
      <c r="G15" s="7" cm="1">
        <f t="array" ref="G15">_xlfn.XLOOKUP($A15&amp;$B15,Лист2!$A:$A &amp; Лист2!$B:$B,Лист2!E:E)</f>
        <v>1626</v>
      </c>
      <c r="H15">
        <f t="shared" si="0"/>
        <v>130684.86</v>
      </c>
      <c r="I15">
        <f t="shared" si="1"/>
        <v>21</v>
      </c>
    </row>
    <row r="16" spans="1:24" ht="14.25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 s="7" cm="1">
        <f t="array" ref="E16">_xlfn.XLOOKUP($A16&amp;$B16,Лист2!$A:$A &amp; Лист2!$B:$B,Лист2!C:C)</f>
        <v>21</v>
      </c>
      <c r="F16" s="7" cm="1">
        <f t="array" ref="F16">_xlfn.XLOOKUP($A16&amp;$B16,Лист2!$A:$A &amp; Лист2!$B:$B,Лист2!D:D)</f>
        <v>1921</v>
      </c>
      <c r="G16" s="7" cm="1">
        <f t="array" ref="G16">_xlfn.XLOOKUP($A16&amp;$B16,Лист2!$A:$A &amp; Лист2!$B:$B,Лист2!E:E)</f>
        <v>1767</v>
      </c>
      <c r="H16">
        <f t="shared" si="0"/>
        <v>139491.93</v>
      </c>
      <c r="I16">
        <f t="shared" si="1"/>
        <v>21</v>
      </c>
    </row>
    <row r="17" spans="1:9" ht="14.25" customHeight="1" x14ac:dyDescent="0.25">
      <c r="A17" s="8">
        <v>43956</v>
      </c>
      <c r="B17" s="9" t="s">
        <v>10</v>
      </c>
      <c r="C17" s="9">
        <v>31566</v>
      </c>
      <c r="D17" s="9">
        <v>2906763</v>
      </c>
      <c r="E17" s="7" cm="1">
        <f t="array" ref="E17">_xlfn.XLOOKUP($A17&amp;$B17,Лист2!$A:$A &amp; Лист2!$B:$B,Лист2!C:C)</f>
        <v>20</v>
      </c>
      <c r="F17" s="7" cm="1">
        <f t="array" ref="F17">_xlfn.XLOOKUP($A17&amp;$B17,Лист2!$A:$A &amp; Лист2!$B:$B,Лист2!D:D)</f>
        <v>1773</v>
      </c>
      <c r="G17" s="7" cm="1">
        <f t="array" ref="G17">_xlfn.XLOOKUP($A17&amp;$B17,Лист2!$A:$A &amp; Лист2!$B:$B,Лист2!E:E)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 s="7" cm="1">
        <f t="array" ref="E18">_xlfn.XLOOKUP($A18&amp;$B18,Лист2!$A:$A &amp; Лист2!$B:$B,Лист2!C:C)</f>
        <v>18</v>
      </c>
      <c r="F18" s="7" cm="1">
        <f t="array" ref="F18">_xlfn.XLOOKUP($A18&amp;$B18,Лист2!$A:$A &amp; Лист2!$B:$B,Лист2!D:D)</f>
        <v>1539</v>
      </c>
      <c r="G18" s="7" cm="1">
        <f t="array" ref="G18">_xlfn.XLOOKUP($A18&amp;$B18,Лист2!$A:$A &amp; Лист2!$B:$B,Лист2!E:E)</f>
        <v>1404</v>
      </c>
      <c r="H18">
        <f t="shared" si="0"/>
        <v>133977.07999999999</v>
      </c>
      <c r="I18">
        <f t="shared" si="1"/>
        <v>18</v>
      </c>
    </row>
    <row r="19" spans="1:9" ht="14.25" customHeight="1" x14ac:dyDescent="0.25">
      <c r="A19" s="8">
        <v>43964</v>
      </c>
      <c r="B19" s="9" t="s">
        <v>10</v>
      </c>
      <c r="C19" s="9">
        <v>29241</v>
      </c>
      <c r="D19" s="9">
        <v>2629782</v>
      </c>
      <c r="E19" s="7" cm="1">
        <f t="array" ref="E19">_xlfn.XLOOKUP($A19&amp;$B19,Лист2!$A:$A &amp; Лист2!$B:$B,Лист2!C:C)</f>
        <v>21</v>
      </c>
      <c r="F19" s="7" cm="1">
        <f t="array" ref="F19">_xlfn.XLOOKUP($A19&amp;$B19,Лист2!$A:$A &amp; Лист2!$B:$B,Лист2!D:D)</f>
        <v>1698</v>
      </c>
      <c r="G19" s="7" cm="1">
        <f t="array" ref="G19">_xlfn.XLOOKUP($A19&amp;$B19,Лист2!$A:$A &amp; Лист2!$B:$B,Лист2!E:E)</f>
        <v>1554</v>
      </c>
      <c r="H19">
        <f t="shared" si="0"/>
        <v>125227.71</v>
      </c>
      <c r="I19">
        <f t="shared" si="1"/>
        <v>20</v>
      </c>
    </row>
    <row r="20" spans="1:9" ht="14.25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 s="7" cm="1">
        <f t="array" ref="E20">_xlfn.XLOOKUP($A20&amp;$B20,Лист2!$A:$A &amp; Лист2!$B:$B,Лист2!C:C)</f>
        <v>20</v>
      </c>
      <c r="F20" s="7" cm="1">
        <f t="array" ref="F20">_xlfn.XLOOKUP($A20&amp;$B20,Лист2!$A:$A &amp; Лист2!$B:$B,Лист2!D:D)</f>
        <v>1520</v>
      </c>
      <c r="G20" s="7" cm="1">
        <f t="array" ref="G20">_xlfn.XLOOKUP($A20&amp;$B20,Лист2!$A:$A &amp; Лист2!$B:$B,Лист2!E:E)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25">
      <c r="A21" s="8">
        <v>43957</v>
      </c>
      <c r="B21" s="9" t="s">
        <v>10</v>
      </c>
      <c r="C21" s="9">
        <v>32511</v>
      </c>
      <c r="D21" s="9">
        <v>2938623</v>
      </c>
      <c r="E21" s="7" cm="1">
        <f t="array" ref="E21">_xlfn.XLOOKUP($A21&amp;$B21,Лист2!$A:$A &amp; Лист2!$B:$B,Лист2!C:C)</f>
        <v>20</v>
      </c>
      <c r="F21" s="7" cm="1">
        <f t="array" ref="F21">_xlfn.XLOOKUP($A21&amp;$B21,Лист2!$A:$A &amp; Лист2!$B:$B,Лист2!D:D)</f>
        <v>1784</v>
      </c>
      <c r="G21" s="7" cm="1">
        <f t="array" ref="G21">_xlfn.XLOOKUP($A21&amp;$B21,Лист2!$A:$A &amp; Лист2!$B:$B,Лист2!E:E)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 s="7" cm="1">
        <f t="array" ref="E22">_xlfn.XLOOKUP($A22&amp;$B22,Лист2!$A:$A &amp; Лист2!$B:$B,Лист2!C:C)</f>
        <v>21</v>
      </c>
      <c r="F22" s="7" cm="1">
        <f t="array" ref="F22">_xlfn.XLOOKUP($A22&amp;$B22,Лист2!$A:$A &amp; Лист2!$B:$B,Лист2!D:D)</f>
        <v>2340</v>
      </c>
      <c r="G22" s="7" cm="1">
        <f t="array" ref="G22">_xlfn.XLOOKUP($A22&amp;$B22,Лист2!$A:$A &amp; Лист2!$B:$B,Лист2!E:E)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25">
      <c r="A23" s="8">
        <v>43976</v>
      </c>
      <c r="B23" s="9" t="s">
        <v>10</v>
      </c>
      <c r="C23" s="9">
        <v>35592</v>
      </c>
      <c r="D23" s="9">
        <v>3176580</v>
      </c>
      <c r="E23" s="7" cm="1">
        <f t="array" ref="E23">_xlfn.XLOOKUP($A23&amp;$B23,Лист2!$A:$A &amp; Лист2!$B:$B,Лист2!C:C)</f>
        <v>20</v>
      </c>
      <c r="F23" s="7" cm="1">
        <f t="array" ref="F23">_xlfn.XLOOKUP($A23&amp;$B23,Лист2!$A:$A &amp; Лист2!$B:$B,Лист2!D:D)</f>
        <v>2087</v>
      </c>
      <c r="G23" s="7" cm="1">
        <f t="array" ref="G23">_xlfn.XLOOKUP($A23&amp;$B23,Лист2!$A:$A &amp; Лист2!$B:$B,Лист2!E:E)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 s="7" cm="1">
        <f t="array" ref="E24">_xlfn.XLOOKUP($A24&amp;$B24,Лист2!$A:$A &amp; Лист2!$B:$B,Лист2!C:C)</f>
        <v>19</v>
      </c>
      <c r="F24" s="7" cm="1">
        <f t="array" ref="F24">_xlfn.XLOOKUP($A24&amp;$B24,Лист2!$A:$A &amp; Лист2!$B:$B,Лист2!D:D)</f>
        <v>1712</v>
      </c>
      <c r="G24" s="7" cm="1">
        <f t="array" ref="G24">_xlfn.XLOOKUP($A24&amp;$B24,Лист2!$A:$A &amp; Лист2!$B:$B,Лист2!E:E)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25">
      <c r="A25" s="8">
        <v>43961</v>
      </c>
      <c r="B25" s="9" t="s">
        <v>10</v>
      </c>
      <c r="C25" s="9">
        <v>36619.5</v>
      </c>
      <c r="D25" s="9">
        <v>3312967.5</v>
      </c>
      <c r="E25" s="7" cm="1">
        <f t="array" ref="E25">_xlfn.XLOOKUP($A25&amp;$B25,Лист2!$A:$A &amp; Лист2!$B:$B,Лист2!C:C)</f>
        <v>21</v>
      </c>
      <c r="F25" s="7" cm="1">
        <f t="array" ref="F25">_xlfn.XLOOKUP($A25&amp;$B25,Лист2!$A:$A &amp; Лист2!$B:$B,Лист2!D:D)</f>
        <v>2016</v>
      </c>
      <c r="G25" s="7" cm="1">
        <f t="array" ref="G25">_xlfn.XLOOKUP($A25&amp;$B25,Лист2!$A:$A &amp; Лист2!$B:$B,Лист2!E:E)</f>
        <v>1846</v>
      </c>
      <c r="H25">
        <f t="shared" si="0"/>
        <v>157760.35999999999</v>
      </c>
      <c r="I25">
        <f t="shared" si="1"/>
        <v>19</v>
      </c>
    </row>
    <row r="26" spans="1:9" ht="14.25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 s="7" cm="1">
        <f t="array" ref="E26">_xlfn.XLOOKUP($A26&amp;$B26,Лист2!$A:$A &amp; Лист2!$B:$B,Лист2!C:C)</f>
        <v>21</v>
      </c>
      <c r="F26" s="7" cm="1">
        <f t="array" ref="F26">_xlfn.XLOOKUP($A26&amp;$B26,Лист2!$A:$A &amp; Лист2!$B:$B,Лист2!D:D)</f>
        <v>1646</v>
      </c>
      <c r="G26" s="7" cm="1">
        <f t="array" ref="G26">_xlfn.XLOOKUP($A26&amp;$B26,Лист2!$A:$A &amp; Лист2!$B:$B,Лист2!E:E)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25">
      <c r="A27" s="8">
        <v>43958</v>
      </c>
      <c r="B27" s="9" t="s">
        <v>10</v>
      </c>
      <c r="C27" s="9">
        <v>27018</v>
      </c>
      <c r="D27" s="9">
        <v>2472213</v>
      </c>
      <c r="E27" s="7" cm="1">
        <f t="array" ref="E27">_xlfn.XLOOKUP($A27&amp;$B27,Лист2!$A:$A &amp; Лист2!$B:$B,Лист2!C:C)</f>
        <v>21</v>
      </c>
      <c r="F27" s="7" cm="1">
        <f t="array" ref="F27">_xlfn.XLOOKUP($A27&amp;$B27,Лист2!$A:$A &amp; Лист2!$B:$B,Лист2!D:D)</f>
        <v>1542</v>
      </c>
      <c r="G27" s="7" cm="1">
        <f t="array" ref="G27">_xlfn.XLOOKUP($A27&amp;$B27,Лист2!$A:$A &amp; Лист2!$B:$B,Лист2!E:E)</f>
        <v>1405</v>
      </c>
      <c r="H27">
        <f t="shared" si="0"/>
        <v>117724.43</v>
      </c>
      <c r="I27">
        <f t="shared" si="1"/>
        <v>19</v>
      </c>
    </row>
    <row r="28" spans="1:9" ht="14.25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 s="7" cm="1">
        <f t="array" ref="E28">_xlfn.XLOOKUP($A28&amp;$B28,Лист2!$A:$A &amp; Лист2!$B:$B,Лист2!C:C)</f>
        <v>20</v>
      </c>
      <c r="F28" s="7" cm="1">
        <f t="array" ref="F28">_xlfn.XLOOKUP($A28&amp;$B28,Лист2!$A:$A &amp; Лист2!$B:$B,Лист2!D:D)</f>
        <v>1999</v>
      </c>
      <c r="G28" s="7" cm="1">
        <f t="array" ref="G28">_xlfn.XLOOKUP($A28&amp;$B28,Лист2!$A:$A &amp; Лист2!$B:$B,Лист2!E:E)</f>
        <v>1829</v>
      </c>
      <c r="H28">
        <f t="shared" si="0"/>
        <v>146237.32999999999</v>
      </c>
      <c r="I28">
        <f t="shared" si="1"/>
        <v>21</v>
      </c>
    </row>
    <row r="29" spans="1:9" ht="14.25" customHeight="1" x14ac:dyDescent="0.25">
      <c r="A29" s="8">
        <v>43982</v>
      </c>
      <c r="B29" s="9" t="s">
        <v>10</v>
      </c>
      <c r="C29" s="9">
        <v>36999</v>
      </c>
      <c r="D29" s="9">
        <v>3473895</v>
      </c>
      <c r="E29" s="7" cm="1">
        <f t="array" ref="E29">_xlfn.XLOOKUP($A29&amp;$B29,Лист2!$A:$A &amp; Лист2!$B:$B,Лист2!C:C)</f>
        <v>21</v>
      </c>
      <c r="F29" s="7" cm="1">
        <f t="array" ref="F29">_xlfn.XLOOKUP($A29&amp;$B29,Лист2!$A:$A &amp; Лист2!$B:$B,Лист2!D:D)</f>
        <v>2271</v>
      </c>
      <c r="G29" s="7" cm="1">
        <f t="array" ref="G29">_xlfn.XLOOKUP($A29&amp;$B29,Лист2!$A:$A &amp; Лист2!$B:$B,Лист2!E:E)</f>
        <v>2085</v>
      </c>
      <c r="H29">
        <f t="shared" si="0"/>
        <v>165423.57</v>
      </c>
      <c r="I29">
        <f t="shared" si="1"/>
        <v>22</v>
      </c>
    </row>
    <row r="30" spans="1:9" ht="14.25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 s="7" cm="1">
        <f t="array" ref="E30">_xlfn.XLOOKUP($A30&amp;$B30,Лист2!$A:$A &amp; Лист2!$B:$B,Лист2!C:C)</f>
        <v>20</v>
      </c>
      <c r="F30" s="7" cm="1">
        <f t="array" ref="F30">_xlfn.XLOOKUP($A30&amp;$B30,Лист2!$A:$A &amp; Лист2!$B:$B,Лист2!D:D)</f>
        <v>2597</v>
      </c>
      <c r="G30" s="7" cm="1">
        <f t="array" ref="G30">_xlfn.XLOOKUP($A30&amp;$B30,Лист2!$A:$A &amp; Лист2!$B:$B,Лист2!E:E)</f>
        <v>2376</v>
      </c>
      <c r="H30">
        <f t="shared" si="0"/>
        <v>196089.23</v>
      </c>
      <c r="I30">
        <f t="shared" si="1"/>
        <v>22</v>
      </c>
    </row>
    <row r="31" spans="1:9" ht="14.25" customHeight="1" x14ac:dyDescent="0.25">
      <c r="A31" s="8">
        <v>43979</v>
      </c>
      <c r="B31" s="9" t="s">
        <v>10</v>
      </c>
      <c r="C31" s="9">
        <v>30982.5</v>
      </c>
      <c r="D31" s="9">
        <v>2827773</v>
      </c>
      <c r="E31" s="7" cm="1">
        <f t="array" ref="E31">_xlfn.XLOOKUP($A31&amp;$B31,Лист2!$A:$A &amp; Лист2!$B:$B,Лист2!C:C)</f>
        <v>20</v>
      </c>
      <c r="F31" s="7" cm="1">
        <f t="array" ref="F31">_xlfn.XLOOKUP($A31&amp;$B31,Лист2!$A:$A &amp; Лист2!$B:$B,Лист2!D:D)</f>
        <v>1886</v>
      </c>
      <c r="G31" s="7" cm="1">
        <f t="array" ref="G31">_xlfn.XLOOKUP($A31&amp;$B31,Лист2!$A:$A &amp; Лист2!$B:$B,Лист2!E:E)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 s="7" cm="1">
        <f t="array" ref="E32">_xlfn.XLOOKUP($A32&amp;$B32,Лист2!$A:$A &amp; Лист2!$B:$B,Лист2!C:C)</f>
        <v>31</v>
      </c>
      <c r="F32" s="7" cm="1">
        <f t="array" ref="F32">_xlfn.XLOOKUP($A32&amp;$B32,Лист2!$A:$A &amp; Лист2!$B:$B,Лист2!D:D)</f>
        <v>5593</v>
      </c>
      <c r="G32" s="7" cm="1">
        <f t="array" ref="G32">_xlfn.XLOOKUP($A32&amp;$B32,Лист2!$A:$A &amp; Лист2!$B:$B,Лист2!E:E)</f>
        <v>5177</v>
      </c>
      <c r="H32">
        <f t="shared" si="0"/>
        <v>244637.37</v>
      </c>
      <c r="I32">
        <f t="shared" si="1"/>
        <v>20</v>
      </c>
    </row>
    <row r="33" spans="1:9" ht="14.25" customHeight="1" x14ac:dyDescent="0.25">
      <c r="A33" s="8">
        <v>43970</v>
      </c>
      <c r="B33" s="9" t="s">
        <v>11</v>
      </c>
      <c r="C33" s="9">
        <v>84024</v>
      </c>
      <c r="D33" s="9">
        <v>6815511</v>
      </c>
      <c r="E33" s="7" cm="1">
        <f t="array" ref="E33">_xlfn.XLOOKUP($A33&amp;$B33,Лист2!$A:$A &amp; Лист2!$B:$B,Лист2!C:C)</f>
        <v>31</v>
      </c>
      <c r="F33" s="7" cm="1">
        <f t="array" ref="F33">_xlfn.XLOOKUP($A33&amp;$B33,Лист2!$A:$A &amp; Лист2!$B:$B,Лист2!D:D)</f>
        <v>5389</v>
      </c>
      <c r="G33" s="7" cm="1">
        <f t="array" ref="G33">_xlfn.XLOOKUP($A33&amp;$B33,Лист2!$A:$A &amp; Лист2!$B:$B,Лист2!E:E)</f>
        <v>5024</v>
      </c>
      <c r="H33">
        <f t="shared" si="0"/>
        <v>219855.19</v>
      </c>
      <c r="I33">
        <f t="shared" si="1"/>
        <v>21</v>
      </c>
    </row>
    <row r="34" spans="1:9" ht="14.25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 s="7" cm="1">
        <f t="array" ref="E34">_xlfn.XLOOKUP($A34&amp;$B34,Лист2!$A:$A &amp; Лист2!$B:$B,Лист2!C:C)</f>
        <v>31</v>
      </c>
      <c r="F34" s="7" cm="1">
        <f t="array" ref="F34">_xlfn.XLOOKUP($A34&amp;$B34,Лист2!$A:$A &amp; Лист2!$B:$B,Лист2!D:D)</f>
        <v>5206</v>
      </c>
      <c r="G34" s="7" cm="1">
        <f t="array" ref="G34">_xlfn.XLOOKUP($A34&amp;$B34,Лист2!$A:$A &amp; Лист2!$B:$B,Лист2!E:E)</f>
        <v>4843</v>
      </c>
      <c r="H34">
        <f t="shared" si="0"/>
        <v>218546.66</v>
      </c>
      <c r="I34">
        <f t="shared" si="1"/>
        <v>20</v>
      </c>
    </row>
    <row r="35" spans="1:9" ht="14.25" customHeight="1" x14ac:dyDescent="0.25">
      <c r="A35" s="8">
        <v>43960</v>
      </c>
      <c r="B35" s="9" t="s">
        <v>11</v>
      </c>
      <c r="C35" s="9">
        <v>69720</v>
      </c>
      <c r="D35" s="9">
        <v>6264933</v>
      </c>
      <c r="E35" s="7" cm="1">
        <f t="array" ref="E35">_xlfn.XLOOKUP($A35&amp;$B35,Лист2!$A:$A &amp; Лист2!$B:$B,Лист2!C:C)</f>
        <v>31</v>
      </c>
      <c r="F35" s="7" cm="1">
        <f t="array" ref="F35">_xlfn.XLOOKUP($A35&amp;$B35,Лист2!$A:$A &amp; Лист2!$B:$B,Лист2!D:D)</f>
        <v>4556</v>
      </c>
      <c r="G35" s="7" cm="1">
        <f t="array" ref="G35">_xlfn.XLOOKUP($A35&amp;$B35,Лист2!$A:$A &amp; Лист2!$B:$B,Лист2!E:E)</f>
        <v>4220</v>
      </c>
      <c r="H35">
        <f t="shared" si="0"/>
        <v>202094.61</v>
      </c>
      <c r="I35">
        <f t="shared" si="1"/>
        <v>19</v>
      </c>
    </row>
    <row r="36" spans="1:9" ht="14.25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 s="7" cm="1">
        <f t="array" ref="E36">_xlfn.XLOOKUP($A36&amp;$B36,Лист2!$A:$A &amp; Лист2!$B:$B,Лист2!C:C)</f>
        <v>31</v>
      </c>
      <c r="F36" s="7" cm="1">
        <f t="array" ref="F36">_xlfn.XLOOKUP($A36&amp;$B36,Лист2!$A:$A &amp; Лист2!$B:$B,Лист2!D:D)</f>
        <v>4968</v>
      </c>
      <c r="G36" s="7" cm="1">
        <f t="array" ref="G36">_xlfn.XLOOKUP($A36&amp;$B36,Лист2!$A:$A &amp; Лист2!$B:$B,Лист2!E:E)</f>
        <v>4596</v>
      </c>
      <c r="H36">
        <f t="shared" si="0"/>
        <v>214266.1</v>
      </c>
      <c r="I36">
        <f t="shared" si="1"/>
        <v>19</v>
      </c>
    </row>
    <row r="37" spans="1:9" ht="14.25" customHeight="1" x14ac:dyDescent="0.25">
      <c r="A37" s="8">
        <v>43950</v>
      </c>
      <c r="B37" s="9" t="s">
        <v>11</v>
      </c>
      <c r="C37" s="9">
        <v>79527</v>
      </c>
      <c r="D37" s="9">
        <v>7180498.5</v>
      </c>
      <c r="E37" s="7" cm="1">
        <f t="array" ref="E37">_xlfn.XLOOKUP($A37&amp;$B37,Лист2!$A:$A &amp; Лист2!$B:$B,Лист2!C:C)</f>
        <v>31</v>
      </c>
      <c r="F37" s="7" cm="1">
        <f t="array" ref="F37">_xlfn.XLOOKUP($A37&amp;$B37,Лист2!$A:$A &amp; Лист2!$B:$B,Лист2!D:D)</f>
        <v>5378</v>
      </c>
      <c r="G37" s="7" cm="1">
        <f t="array" ref="G37">_xlfn.XLOOKUP($A37&amp;$B37,Лист2!$A:$A &amp; Лист2!$B:$B,Лист2!E:E)</f>
        <v>4985</v>
      </c>
      <c r="H37">
        <f t="shared" si="0"/>
        <v>231628.98</v>
      </c>
      <c r="I37">
        <f t="shared" si="1"/>
        <v>18</v>
      </c>
    </row>
    <row r="38" spans="1:9" ht="14.25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 s="7" cm="1">
        <f t="array" ref="E38">_xlfn.XLOOKUP($A38&amp;$B38,Лист2!$A:$A &amp; Лист2!$B:$B,Лист2!C:C)</f>
        <v>31</v>
      </c>
      <c r="F38" s="7" cm="1">
        <f t="array" ref="F38">_xlfn.XLOOKUP($A38&amp;$B38,Лист2!$A:$A &amp; Лист2!$B:$B,Лист2!D:D)</f>
        <v>4157</v>
      </c>
      <c r="G38" s="7" cm="1">
        <f t="array" ref="G38">_xlfn.XLOOKUP($A38&amp;$B38,Лист2!$A:$A &amp; Лист2!$B:$B,Лист2!E:E)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25">
      <c r="A39" s="8">
        <v>43977</v>
      </c>
      <c r="B39" s="9" t="s">
        <v>11</v>
      </c>
      <c r="C39" s="9">
        <v>79975.5</v>
      </c>
      <c r="D39" s="9">
        <v>6676459.5</v>
      </c>
      <c r="E39" s="7" cm="1">
        <f t="array" ref="E39">_xlfn.XLOOKUP($A39&amp;$B39,Лист2!$A:$A &amp; Лист2!$B:$B,Лист2!C:C)</f>
        <v>31</v>
      </c>
      <c r="F39" s="7" cm="1">
        <f t="array" ref="F39">_xlfn.XLOOKUP($A39&amp;$B39,Лист2!$A:$A &amp; Лист2!$B:$B,Лист2!D:D)</f>
        <v>5493</v>
      </c>
      <c r="G39" s="7" cm="1">
        <f t="array" ref="G39">_xlfn.XLOOKUP($A39&amp;$B39,Лист2!$A:$A &amp; Лист2!$B:$B,Лист2!E:E)</f>
        <v>5119</v>
      </c>
      <c r="H39">
        <f t="shared" si="0"/>
        <v>215369.66</v>
      </c>
      <c r="I39">
        <f t="shared" si="1"/>
        <v>22</v>
      </c>
    </row>
    <row r="40" spans="1:9" ht="14.25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 s="7" cm="1">
        <f t="array" ref="E40">_xlfn.XLOOKUP($A40&amp;$B40,Лист2!$A:$A &amp; Лист2!$B:$B,Лист2!C:C)</f>
        <v>31</v>
      </c>
      <c r="F40" s="7" cm="1">
        <f t="array" ref="F40">_xlfn.XLOOKUP($A40&amp;$B40,Лист2!$A:$A &amp; Лист2!$B:$B,Лист2!D:D)</f>
        <v>6118</v>
      </c>
      <c r="G40" s="7" cm="1">
        <f t="array" ref="G40">_xlfn.XLOOKUP($A40&amp;$B40,Лист2!$A:$A &amp; Лист2!$B:$B,Лист2!E:E)</f>
        <v>5564</v>
      </c>
      <c r="H40">
        <f t="shared" si="0"/>
        <v>286871.76</v>
      </c>
      <c r="I40">
        <f t="shared" si="1"/>
        <v>18</v>
      </c>
    </row>
    <row r="41" spans="1:9" ht="14.25" customHeight="1" x14ac:dyDescent="0.25">
      <c r="A41" s="8">
        <v>43963</v>
      </c>
      <c r="B41" s="9" t="s">
        <v>11</v>
      </c>
      <c r="C41" s="9">
        <v>71520</v>
      </c>
      <c r="D41" s="9">
        <v>6398361</v>
      </c>
      <c r="E41" s="7" cm="1">
        <f t="array" ref="E41">_xlfn.XLOOKUP($A41&amp;$B41,Лист2!$A:$A &amp; Лист2!$B:$B,Лист2!C:C)</f>
        <v>31</v>
      </c>
      <c r="F41" s="7" cm="1">
        <f t="array" ref="F41">_xlfn.XLOOKUP($A41&amp;$B41,Лист2!$A:$A &amp; Лист2!$B:$B,Лист2!D:D)</f>
        <v>4800</v>
      </c>
      <c r="G41" s="7" cm="1">
        <f t="array" ref="G41">_xlfn.XLOOKUP($A41&amp;$B41,Лист2!$A:$A &amp; Лист2!$B:$B,Лист2!E:E)</f>
        <v>4470</v>
      </c>
      <c r="H41">
        <f t="shared" si="0"/>
        <v>206398.74</v>
      </c>
      <c r="I41">
        <f t="shared" si="1"/>
        <v>20</v>
      </c>
    </row>
    <row r="42" spans="1:9" ht="14.25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 s="7" cm="1">
        <f t="array" ref="E42">_xlfn.XLOOKUP($A42&amp;$B42,Лист2!$A:$A &amp; Лист2!$B:$B,Лист2!C:C)</f>
        <v>31</v>
      </c>
      <c r="F42" s="7" cm="1">
        <f t="array" ref="F42">_xlfn.XLOOKUP($A42&amp;$B42,Лист2!$A:$A &amp; Лист2!$B:$B,Лист2!D:D)</f>
        <v>5207</v>
      </c>
      <c r="G42" s="7" cm="1">
        <f t="array" ref="G42">_xlfn.XLOOKUP($A42&amp;$B42,Лист2!$A:$A &amp; Лист2!$B:$B,Лист2!E:E)</f>
        <v>4868</v>
      </c>
      <c r="H42">
        <f t="shared" si="0"/>
        <v>213995.08</v>
      </c>
      <c r="I42">
        <f t="shared" si="1"/>
        <v>21</v>
      </c>
    </row>
    <row r="43" spans="1:9" ht="14.25" customHeight="1" x14ac:dyDescent="0.25">
      <c r="A43" s="8">
        <v>43971</v>
      </c>
      <c r="B43" s="9" t="s">
        <v>11</v>
      </c>
      <c r="C43" s="9">
        <v>93313.5</v>
      </c>
      <c r="D43" s="9">
        <v>7247575.5</v>
      </c>
      <c r="E43" s="7" cm="1">
        <f t="array" ref="E43">_xlfn.XLOOKUP($A43&amp;$B43,Лист2!$A:$A &amp; Лист2!$B:$B,Лист2!C:C)</f>
        <v>31</v>
      </c>
      <c r="F43" s="7" cm="1">
        <f t="array" ref="F43">_xlfn.XLOOKUP($A43&amp;$B43,Лист2!$A:$A &amp; Лист2!$B:$B,Лист2!D:D)</f>
        <v>5698</v>
      </c>
      <c r="G43" s="7" cm="1">
        <f t="array" ref="G43">_xlfn.XLOOKUP($A43&amp;$B43,Лист2!$A:$A &amp; Лист2!$B:$B,Лист2!E:E)</f>
        <v>5258</v>
      </c>
      <c r="H43">
        <f t="shared" si="0"/>
        <v>233792.76</v>
      </c>
      <c r="I43">
        <f t="shared" si="1"/>
        <v>21</v>
      </c>
    </row>
    <row r="44" spans="1:9" ht="14.25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 s="7" cm="1">
        <f t="array" ref="E44">_xlfn.XLOOKUP($A44&amp;$B44,Лист2!$A:$A &amp; Лист2!$B:$B,Лист2!C:C)</f>
        <v>31</v>
      </c>
      <c r="F44" s="7" cm="1">
        <f t="array" ref="F44">_xlfn.XLOOKUP($A44&amp;$B44,Лист2!$A:$A &amp; Лист2!$B:$B,Лист2!D:D)</f>
        <v>5188</v>
      </c>
      <c r="G44" s="7" cm="1">
        <f t="array" ref="G44">_xlfn.XLOOKUP($A44&amp;$B44,Лист2!$A:$A &amp; Лист2!$B:$B,Лист2!E:E)</f>
        <v>4800</v>
      </c>
      <c r="H44">
        <f t="shared" si="0"/>
        <v>223268.27</v>
      </c>
      <c r="I44">
        <f t="shared" si="1"/>
        <v>19</v>
      </c>
    </row>
    <row r="45" spans="1:9" ht="14.25" customHeight="1" x14ac:dyDescent="0.25">
      <c r="A45" s="8">
        <v>43949</v>
      </c>
      <c r="B45" s="9" t="s">
        <v>11</v>
      </c>
      <c r="C45" s="9">
        <v>81826.5</v>
      </c>
      <c r="D45" s="9">
        <v>7163644.5</v>
      </c>
      <c r="E45" s="7" cm="1">
        <f t="array" ref="E45">_xlfn.XLOOKUP($A45&amp;$B45,Лист2!$A:$A &amp; Лист2!$B:$B,Лист2!C:C)</f>
        <v>31</v>
      </c>
      <c r="F45" s="7" cm="1">
        <f t="array" ref="F45">_xlfn.XLOOKUP($A45&amp;$B45,Лист2!$A:$A &amp; Лист2!$B:$B,Лист2!D:D)</f>
        <v>5465</v>
      </c>
      <c r="G45" s="7" cm="1">
        <f t="array" ref="G45">_xlfn.XLOOKUP($A45&amp;$B45,Лист2!$A:$A &amp; Лист2!$B:$B,Лист2!E:E)</f>
        <v>5096</v>
      </c>
      <c r="H45">
        <f t="shared" si="0"/>
        <v>231085.31</v>
      </c>
      <c r="I45">
        <f t="shared" si="1"/>
        <v>18</v>
      </c>
    </row>
    <row r="46" spans="1:9" ht="14.25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 s="7" cm="1">
        <f t="array" ref="E46">_xlfn.XLOOKUP($A46&amp;$B46,Лист2!$A:$A &amp; Лист2!$B:$B,Лист2!C:C)</f>
        <v>31</v>
      </c>
      <c r="F46" s="7" cm="1">
        <f t="array" ref="F46">_xlfn.XLOOKUP($A46&amp;$B46,Лист2!$A:$A &amp; Лист2!$B:$B,Лист2!D:D)</f>
        <v>5251</v>
      </c>
      <c r="G46" s="7" cm="1">
        <f t="array" ref="G46">_xlfn.XLOOKUP($A46&amp;$B46,Лист2!$A:$A &amp; Лист2!$B:$B,Лист2!E:E)</f>
        <v>4853</v>
      </c>
      <c r="H46">
        <f t="shared" si="0"/>
        <v>225611.37</v>
      </c>
      <c r="I46">
        <f t="shared" si="1"/>
        <v>20</v>
      </c>
    </row>
    <row r="47" spans="1:9" ht="14.25" customHeight="1" x14ac:dyDescent="0.25">
      <c r="A47" s="8">
        <v>43954</v>
      </c>
      <c r="B47" s="9" t="s">
        <v>11</v>
      </c>
      <c r="C47" s="9">
        <v>77263.5</v>
      </c>
      <c r="D47" s="9">
        <v>7013670</v>
      </c>
      <c r="E47" s="7" cm="1">
        <f t="array" ref="E47">_xlfn.XLOOKUP($A47&amp;$B47,Лист2!$A:$A &amp; Лист2!$B:$B,Лист2!C:C)</f>
        <v>31</v>
      </c>
      <c r="F47" s="7" cm="1">
        <f t="array" ref="F47">_xlfn.XLOOKUP($A47&amp;$B47,Лист2!$A:$A &amp; Лист2!$B:$B,Лист2!D:D)</f>
        <v>5155</v>
      </c>
      <c r="G47" s="7" cm="1">
        <f t="array" ref="G47">_xlfn.XLOOKUP($A47&amp;$B47,Лист2!$A:$A &amp; Лист2!$B:$B,Лист2!E:E)</f>
        <v>4762</v>
      </c>
      <c r="H47">
        <f t="shared" si="0"/>
        <v>226247.42</v>
      </c>
      <c r="I47">
        <f t="shared" si="1"/>
        <v>18</v>
      </c>
    </row>
    <row r="48" spans="1:9" ht="14.25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 s="7" cm="1">
        <f t="array" ref="E48">_xlfn.XLOOKUP($A48&amp;$B48,Лист2!$A:$A &amp; Лист2!$B:$B,Лист2!C:C)</f>
        <v>31</v>
      </c>
      <c r="F48" s="7" cm="1">
        <f t="array" ref="F48">_xlfn.XLOOKUP($A48&amp;$B48,Лист2!$A:$A &amp; Лист2!$B:$B,Лист2!D:D)</f>
        <v>4709</v>
      </c>
      <c r="G48" s="7" cm="1">
        <f t="array" ref="G48">_xlfn.XLOOKUP($A48&amp;$B48,Лист2!$A:$A &amp; Лист2!$B:$B,Лист2!E:E)</f>
        <v>4348</v>
      </c>
      <c r="H48">
        <f t="shared" si="0"/>
        <v>198988.94</v>
      </c>
      <c r="I48">
        <f t="shared" si="1"/>
        <v>19</v>
      </c>
    </row>
    <row r="49" spans="1:9" ht="14.25" customHeight="1" x14ac:dyDescent="0.25">
      <c r="A49" s="8">
        <v>43974</v>
      </c>
      <c r="B49" s="9" t="s">
        <v>11</v>
      </c>
      <c r="C49" s="9">
        <v>102889.5</v>
      </c>
      <c r="D49" s="9">
        <v>8089143</v>
      </c>
      <c r="E49" s="7" cm="1">
        <f t="array" ref="E49">_xlfn.XLOOKUP($A49&amp;$B49,Лист2!$A:$A &amp; Лист2!$B:$B,Лист2!C:C)</f>
        <v>31</v>
      </c>
      <c r="F49" s="7" cm="1">
        <f t="array" ref="F49">_xlfn.XLOOKUP($A49&amp;$B49,Лист2!$A:$A &amp; Лист2!$B:$B,Лист2!D:D)</f>
        <v>6276</v>
      </c>
      <c r="G49" s="7" cm="1">
        <f t="array" ref="G49">_xlfn.XLOOKUP($A49&amp;$B49,Лист2!$A:$A &amp; Лист2!$B:$B,Лист2!E:E)</f>
        <v>5801</v>
      </c>
      <c r="H49">
        <f t="shared" si="0"/>
        <v>260940.1</v>
      </c>
      <c r="I49">
        <f t="shared" si="1"/>
        <v>21</v>
      </c>
    </row>
    <row r="50" spans="1:9" ht="14.25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 s="7" cm="1">
        <f t="array" ref="E50">_xlfn.XLOOKUP($A50&amp;$B50,Лист2!$A:$A &amp; Лист2!$B:$B,Лист2!C:C)</f>
        <v>31</v>
      </c>
      <c r="F50" s="7" cm="1">
        <f t="array" ref="F50">_xlfn.XLOOKUP($A50&amp;$B50,Лист2!$A:$A &amp; Лист2!$B:$B,Лист2!D:D)</f>
        <v>5210</v>
      </c>
      <c r="G50" s="7" cm="1">
        <f t="array" ref="G50">_xlfn.XLOOKUP($A50&amp;$B50,Лист2!$A:$A &amp; Лист2!$B:$B,Лист2!E:E)</f>
        <v>4841</v>
      </c>
      <c r="H50">
        <f t="shared" si="0"/>
        <v>214374.29</v>
      </c>
      <c r="I50">
        <f t="shared" si="1"/>
        <v>22</v>
      </c>
    </row>
    <row r="51" spans="1:9" ht="14.25" customHeight="1" x14ac:dyDescent="0.25">
      <c r="A51" s="8">
        <v>43951</v>
      </c>
      <c r="B51" s="9" t="s">
        <v>11</v>
      </c>
      <c r="C51" s="9">
        <v>77565</v>
      </c>
      <c r="D51" s="9">
        <v>7023727.5</v>
      </c>
      <c r="E51" s="7" cm="1">
        <f t="array" ref="E51">_xlfn.XLOOKUP($A51&amp;$B51,Лист2!$A:$A &amp; Лист2!$B:$B,Лист2!C:C)</f>
        <v>31</v>
      </c>
      <c r="F51" s="7" cm="1">
        <f t="array" ref="F51">_xlfn.XLOOKUP($A51&amp;$B51,Лист2!$A:$A &amp; Лист2!$B:$B,Лист2!D:D)</f>
        <v>5120</v>
      </c>
      <c r="G51" s="7" cm="1">
        <f t="array" ref="G51">_xlfn.XLOOKUP($A51&amp;$B51,Лист2!$A:$A &amp; Лист2!$B:$B,Лист2!E:E)</f>
        <v>4737</v>
      </c>
      <c r="H51">
        <f t="shared" si="0"/>
        <v>226571.85</v>
      </c>
      <c r="I51">
        <f t="shared" si="1"/>
        <v>18</v>
      </c>
    </row>
    <row r="52" spans="1:9" ht="14.25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 s="7" cm="1">
        <f t="array" ref="E52">_xlfn.XLOOKUP($A52&amp;$B52,Лист2!$A:$A &amp; Лист2!$B:$B,Лист2!C:C)</f>
        <v>31</v>
      </c>
      <c r="F52" s="7" cm="1">
        <f t="array" ref="F52">_xlfn.XLOOKUP($A52&amp;$B52,Лист2!$A:$A &amp; Лист2!$B:$B,Лист2!D:D)</f>
        <v>5495</v>
      </c>
      <c r="G52" s="7" cm="1">
        <f t="array" ref="G52">_xlfn.XLOOKUP($A52&amp;$B52,Лист2!$A:$A &amp; Лист2!$B:$B,Лист2!E:E)</f>
        <v>5093</v>
      </c>
      <c r="H52">
        <f t="shared" si="0"/>
        <v>241393.35</v>
      </c>
      <c r="I52">
        <f t="shared" si="1"/>
        <v>19</v>
      </c>
    </row>
    <row r="53" spans="1:9" ht="14.25" customHeight="1" x14ac:dyDescent="0.25">
      <c r="A53" s="8">
        <v>43959</v>
      </c>
      <c r="B53" s="9" t="s">
        <v>11</v>
      </c>
      <c r="C53" s="9">
        <v>69544.5</v>
      </c>
      <c r="D53" s="9">
        <v>6293776.5</v>
      </c>
      <c r="E53" s="7" cm="1">
        <f t="array" ref="E53">_xlfn.XLOOKUP($A53&amp;$B53,Лист2!$A:$A &amp; Лист2!$B:$B,Лист2!C:C)</f>
        <v>31</v>
      </c>
      <c r="F53" s="7" cm="1">
        <f t="array" ref="F53">_xlfn.XLOOKUP($A53&amp;$B53,Лист2!$A:$A &amp; Лист2!$B:$B,Лист2!D:D)</f>
        <v>4635</v>
      </c>
      <c r="G53" s="7" cm="1">
        <f t="array" ref="G53">_xlfn.XLOOKUP($A53&amp;$B53,Лист2!$A:$A &amp; Лист2!$B:$B,Лист2!E:E)</f>
        <v>4266</v>
      </c>
      <c r="H53">
        <f t="shared" si="0"/>
        <v>203025.05</v>
      </c>
      <c r="I53">
        <f t="shared" si="1"/>
        <v>19</v>
      </c>
    </row>
    <row r="54" spans="1:9" ht="14.25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 s="7" cm="1">
        <f t="array" ref="E54">_xlfn.XLOOKUP($A54&amp;$B54,Лист2!$A:$A &amp; Лист2!$B:$B,Лист2!C:C)</f>
        <v>31</v>
      </c>
      <c r="F54" s="7" cm="1">
        <f t="array" ref="F54">_xlfn.XLOOKUP($A54&amp;$B54,Лист2!$A:$A &amp; Лист2!$B:$B,Лист2!D:D)</f>
        <v>4903</v>
      </c>
      <c r="G54" s="7" cm="1">
        <f t="array" ref="G54">_xlfn.XLOOKUP($A54&amp;$B54,Лист2!$A:$A &amp; Лист2!$B:$B,Лист2!E:E)</f>
        <v>4527</v>
      </c>
      <c r="H54">
        <f t="shared" si="0"/>
        <v>212641.4</v>
      </c>
      <c r="I54">
        <f t="shared" si="1"/>
        <v>19</v>
      </c>
    </row>
    <row r="55" spans="1:9" ht="14.25" customHeight="1" x14ac:dyDescent="0.25">
      <c r="A55" s="8">
        <v>43975</v>
      </c>
      <c r="B55" s="9" t="s">
        <v>11</v>
      </c>
      <c r="C55" s="9">
        <v>76663.5</v>
      </c>
      <c r="D55" s="9">
        <v>6451032</v>
      </c>
      <c r="E55" s="7" cm="1">
        <f t="array" ref="E55">_xlfn.XLOOKUP($A55&amp;$B55,Лист2!$A:$A &amp; Лист2!$B:$B,Лист2!C:C)</f>
        <v>31</v>
      </c>
      <c r="F55" s="7" cm="1">
        <f t="array" ref="F55">_xlfn.XLOOKUP($A55&amp;$B55,Лист2!$A:$A &amp; Лист2!$B:$B,Лист2!D:D)</f>
        <v>5035</v>
      </c>
      <c r="G55" s="7" cm="1">
        <f t="array" ref="G55">_xlfn.XLOOKUP($A55&amp;$B55,Лист2!$A:$A &amp; Лист2!$B:$B,Лист2!E:E)</f>
        <v>4683</v>
      </c>
      <c r="H55">
        <f t="shared" si="0"/>
        <v>208097.81</v>
      </c>
      <c r="I55">
        <f t="shared" si="1"/>
        <v>21</v>
      </c>
    </row>
    <row r="56" spans="1:9" ht="14.25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 s="7" cm="1">
        <f t="array" ref="E56">_xlfn.XLOOKUP($A56&amp;$B56,Лист2!$A:$A &amp; Лист2!$B:$B,Лист2!C:C)</f>
        <v>10</v>
      </c>
      <c r="F56" s="7" cm="1">
        <f t="array" ref="F56">_xlfn.XLOOKUP($A56&amp;$B56,Лист2!$A:$A &amp; Лист2!$B:$B,Лист2!D:D)</f>
        <v>760</v>
      </c>
      <c r="G56" s="7" cm="1">
        <f t="array" ref="G56">_xlfn.XLOOKUP($A56&amp;$B56,Лист2!$A:$A &amp; Лист2!$B:$B,Лист2!E:E)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25">
      <c r="A57" s="8">
        <v>43970</v>
      </c>
      <c r="B57" s="9" t="s">
        <v>12</v>
      </c>
      <c r="C57" s="9">
        <v>11526</v>
      </c>
      <c r="D57" s="9">
        <v>938764.5</v>
      </c>
      <c r="E57" s="7" cm="1">
        <f t="array" ref="E57">_xlfn.XLOOKUP($A57&amp;$B57,Лист2!$A:$A &amp; Лист2!$B:$B,Лист2!C:C)</f>
        <v>10</v>
      </c>
      <c r="F57" s="7" cm="1">
        <f t="array" ref="F57">_xlfn.XLOOKUP($A57&amp;$B57,Лист2!$A:$A &amp; Лист2!$B:$B,Лист2!D:D)</f>
        <v>649</v>
      </c>
      <c r="G57" s="7" cm="1">
        <f t="array" ref="G57">_xlfn.XLOOKUP($A57&amp;$B57,Лист2!$A:$A &amp; Лист2!$B:$B,Лист2!E:E)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 s="7" cm="1">
        <f t="array" ref="E58">_xlfn.XLOOKUP($A58&amp;$B58,Лист2!$A:$A &amp; Лист2!$B:$B,Лист2!C:C)</f>
        <v>10</v>
      </c>
      <c r="F58" s="7" cm="1">
        <f t="array" ref="F58">_xlfn.XLOOKUP($A58&amp;$B58,Лист2!$A:$A &amp; Лист2!$B:$B,Лист2!D:D)</f>
        <v>591</v>
      </c>
      <c r="G58" s="7" cm="1">
        <f t="array" ref="G58">_xlfn.XLOOKUP($A58&amp;$B58,Лист2!$A:$A &amp; Лист2!$B:$B,Лист2!E:E)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25">
      <c r="A59" s="8">
        <v>43960</v>
      </c>
      <c r="B59" s="9" t="s">
        <v>12</v>
      </c>
      <c r="C59" s="9">
        <v>13216.5</v>
      </c>
      <c r="D59" s="9">
        <v>1046400</v>
      </c>
      <c r="E59" s="7" cm="1">
        <f t="array" ref="E59">_xlfn.XLOOKUP($A59&amp;$B59,Лист2!$A:$A &amp; Лист2!$B:$B,Лист2!C:C)</f>
        <v>10</v>
      </c>
      <c r="F59" s="7" cm="1">
        <f t="array" ref="F59">_xlfn.XLOOKUP($A59&amp;$B59,Лист2!$A:$A &amp; Лист2!$B:$B,Лист2!D:D)</f>
        <v>644</v>
      </c>
      <c r="G59" s="7" cm="1">
        <f t="array" ref="G59">_xlfn.XLOOKUP($A59&amp;$B59,Лист2!$A:$A &amp; Лист2!$B:$B,Лист2!E:E)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 s="7" cm="1">
        <f t="array" ref="E60">_xlfn.XLOOKUP($A60&amp;$B60,Лист2!$A:$A &amp; Лист2!$B:$B,Лист2!C:C)</f>
        <v>10</v>
      </c>
      <c r="F60" s="7" cm="1">
        <f t="array" ref="F60">_xlfn.XLOOKUP($A60&amp;$B60,Лист2!$A:$A &amp; Лист2!$B:$B,Лист2!D:D)</f>
        <v>462</v>
      </c>
      <c r="G60" s="7" cm="1">
        <f t="array" ref="G60">_xlfn.XLOOKUP($A60&amp;$B60,Лист2!$A:$A &amp; Лист2!$B:$B,Лист2!E:E)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25">
      <c r="A61" s="8">
        <v>43950</v>
      </c>
      <c r="B61" s="9" t="s">
        <v>12</v>
      </c>
      <c r="C61" s="9">
        <v>10840.5</v>
      </c>
      <c r="D61" s="9">
        <v>797919</v>
      </c>
      <c r="E61" s="7" cm="1">
        <f t="array" ref="E61">_xlfn.XLOOKUP($A61&amp;$B61,Лист2!$A:$A &amp; Лист2!$B:$B,Лист2!C:C)</f>
        <v>10</v>
      </c>
      <c r="F61" s="7" cm="1">
        <f t="array" ref="F61">_xlfn.XLOOKUP($A61&amp;$B61,Лист2!$A:$A &amp; Лист2!$B:$B,Лист2!D:D)</f>
        <v>502</v>
      </c>
      <c r="G61" s="7" cm="1">
        <f t="array" ref="G61">_xlfn.XLOOKUP($A61&amp;$B61,Лист2!$A:$A &amp; Лист2!$B:$B,Лист2!E:E)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 s="7" cm="1">
        <f t="array" ref="E62">_xlfn.XLOOKUP($A62&amp;$B62,Лист2!$A:$A &amp; Лист2!$B:$B,Лист2!C:C)</f>
        <v>10</v>
      </c>
      <c r="F62" s="7" cm="1">
        <f t="array" ref="F62">_xlfn.XLOOKUP($A62&amp;$B62,Лист2!$A:$A &amp; Лист2!$B:$B,Лист2!D:D)</f>
        <v>416</v>
      </c>
      <c r="G62" s="7" cm="1">
        <f t="array" ref="G62">_xlfn.XLOOKUP($A62&amp;$B62,Лист2!$A:$A &amp; Лист2!$B:$B,Лист2!E:E)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25">
      <c r="A63" s="8">
        <v>43977</v>
      </c>
      <c r="B63" s="9" t="s">
        <v>12</v>
      </c>
      <c r="C63" s="9">
        <v>11835</v>
      </c>
      <c r="D63" s="9">
        <v>983109</v>
      </c>
      <c r="E63" s="7" cm="1">
        <f t="array" ref="E63">_xlfn.XLOOKUP($A63&amp;$B63,Лист2!$A:$A &amp; Лист2!$B:$B,Лист2!C:C)</f>
        <v>10</v>
      </c>
      <c r="F63" s="7" cm="1">
        <f t="array" ref="F63">_xlfn.XLOOKUP($A63&amp;$B63,Лист2!$A:$A &amp; Лист2!$B:$B,Лист2!D:D)</f>
        <v>692</v>
      </c>
      <c r="G63" s="7" cm="1">
        <f t="array" ref="G63">_xlfn.XLOOKUP($A63&amp;$B63,Лист2!$A:$A &amp; Лист2!$B:$B,Лист2!E:E)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 s="7" cm="1">
        <f t="array" ref="E64">_xlfn.XLOOKUP($A64&amp;$B64,Лист2!$A:$A &amp; Лист2!$B:$B,Лист2!C:C)</f>
        <v>10</v>
      </c>
      <c r="F64" s="7" cm="1">
        <f t="array" ref="F64">_xlfn.XLOOKUP($A64&amp;$B64,Лист2!$A:$A &amp; Лист2!$B:$B,Лист2!D:D)</f>
        <v>554</v>
      </c>
      <c r="G64" s="7" cm="1">
        <f t="array" ref="G64">_xlfn.XLOOKUP($A64&amp;$B64,Лист2!$A:$A &amp; Лист2!$B:$B,Лист2!E:E)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25">
      <c r="A65" s="8">
        <v>43963</v>
      </c>
      <c r="B65" s="9" t="s">
        <v>12</v>
      </c>
      <c r="C65" s="9">
        <v>9328.5</v>
      </c>
      <c r="D65" s="9">
        <v>732964.5</v>
      </c>
      <c r="E65" s="7" cm="1">
        <f t="array" ref="E65">_xlfn.XLOOKUP($A65&amp;$B65,Лист2!$A:$A &amp; Лист2!$B:$B,Лист2!C:C)</f>
        <v>10</v>
      </c>
      <c r="F65" s="7" cm="1">
        <f t="array" ref="F65">_xlfn.XLOOKUP($A65&amp;$B65,Лист2!$A:$A &amp; Лист2!$B:$B,Лист2!D:D)</f>
        <v>526</v>
      </c>
      <c r="G65" s="7" cm="1">
        <f t="array" ref="G65">_xlfn.XLOOKUP($A65&amp;$B65,Лист2!$A:$A &amp; Лист2!$B:$B,Лист2!E:E)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 s="7" cm="1">
        <f t="array" ref="E66">_xlfn.XLOOKUP($A66&amp;$B66,Лист2!$A:$A &amp; Лист2!$B:$B,Лист2!C:C)</f>
        <v>10</v>
      </c>
      <c r="F66" s="7" cm="1">
        <f t="array" ref="F66">_xlfn.XLOOKUP($A66&amp;$B66,Лист2!$A:$A &amp; Лист2!$B:$B,Лист2!D:D)</f>
        <v>677</v>
      </c>
      <c r="G66" s="7" cm="1">
        <f t="array" ref="G66">_xlfn.XLOOKUP($A66&amp;$B66,Лист2!$A:$A &amp; Лист2!$B:$B,Лист2!E:E)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25">
      <c r="A67" s="8">
        <v>43971</v>
      </c>
      <c r="B67" s="9" t="s">
        <v>12</v>
      </c>
      <c r="C67" s="9">
        <v>13063.5</v>
      </c>
      <c r="D67" s="9">
        <v>1037247</v>
      </c>
      <c r="E67" s="7" cm="1">
        <f t="array" ref="E67">_xlfn.XLOOKUP($A67&amp;$B67,Лист2!$A:$A &amp; Лист2!$B:$B,Лист2!C:C)</f>
        <v>10</v>
      </c>
      <c r="F67" s="7" cm="1">
        <f t="array" ref="F67">_xlfn.XLOOKUP($A67&amp;$B67,Лист2!$A:$A &amp; Лист2!$B:$B,Лист2!D:D)</f>
        <v>745</v>
      </c>
      <c r="G67" s="7" cm="1">
        <f t="array" ref="G67">_xlfn.XLOOKUP($A67&amp;$B67,Лист2!$A:$A &amp; Лист2!$B:$B,Лист2!E:E)</f>
        <v>654</v>
      </c>
      <c r="H67">
        <f t="shared" ref="H67:H130" si="2">ROUND(D67/E67,2)</f>
        <v>103724.7</v>
      </c>
      <c r="I67">
        <f t="shared" ref="I67:I130" si="3">WEEKNUM(A67,2)</f>
        <v>21</v>
      </c>
    </row>
    <row r="68" spans="1:9" ht="14.25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 s="7" cm="1">
        <f t="array" ref="E68">_xlfn.XLOOKUP($A68&amp;$B68,Лист2!$A:$A &amp; Лист2!$B:$B,Лист2!C:C)</f>
        <v>10</v>
      </c>
      <c r="F68" s="7" cm="1">
        <f t="array" ref="F68">_xlfn.XLOOKUP($A68&amp;$B68,Лист2!$A:$A &amp; Лист2!$B:$B,Лист2!D:D)</f>
        <v>511</v>
      </c>
      <c r="G68" s="7" cm="1">
        <f t="array" ref="G68">_xlfn.XLOOKUP($A68&amp;$B68,Лист2!$A:$A &amp; Лист2!$B:$B,Лист2!E:E)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25">
      <c r="A69" s="8">
        <v>43949</v>
      </c>
      <c r="B69" s="9" t="s">
        <v>12</v>
      </c>
      <c r="C69" s="9">
        <v>12331.5</v>
      </c>
      <c r="D69" s="9">
        <v>869983.5</v>
      </c>
      <c r="E69" s="7" cm="1">
        <f t="array" ref="E69">_xlfn.XLOOKUP($A69&amp;$B69,Лист2!$A:$A &amp; Лист2!$B:$B,Лист2!C:C)</f>
        <v>10</v>
      </c>
      <c r="F69" s="7" cm="1">
        <f t="array" ref="F69">_xlfn.XLOOKUP($A69&amp;$B69,Лист2!$A:$A &amp; Лист2!$B:$B,Лист2!D:D)</f>
        <v>580</v>
      </c>
      <c r="G69" s="7" cm="1">
        <f t="array" ref="G69">_xlfn.XLOOKUP($A69&amp;$B69,Лист2!$A:$A &amp; Лист2!$B:$B,Лист2!E:E)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 s="7" cm="1">
        <f t="array" ref="E70">_xlfn.XLOOKUP($A70&amp;$B70,Лист2!$A:$A &amp; Лист2!$B:$B,Лист2!C:C)</f>
        <v>10</v>
      </c>
      <c r="F70" s="7" cm="1">
        <f t="array" ref="F70">_xlfn.XLOOKUP($A70&amp;$B70,Лист2!$A:$A &amp; Лист2!$B:$B,Лист2!D:D)</f>
        <v>612</v>
      </c>
      <c r="G70" s="7" cm="1">
        <f t="array" ref="G70">_xlfn.XLOOKUP($A70&amp;$B70,Лист2!$A:$A &amp; Лист2!$B:$B,Лист2!E:E)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25">
      <c r="A71" s="8">
        <v>43982</v>
      </c>
      <c r="B71" s="9" t="s">
        <v>11</v>
      </c>
      <c r="C71" s="9">
        <v>89149.5</v>
      </c>
      <c r="D71" s="9">
        <v>7512646.5</v>
      </c>
      <c r="E71" s="7" cm="1">
        <f t="array" ref="E71">_xlfn.XLOOKUP($A71&amp;$B71,Лист2!$A:$A &amp; Лист2!$B:$B,Лист2!C:C)</f>
        <v>31</v>
      </c>
      <c r="F71" s="7" cm="1">
        <f t="array" ref="F71">_xlfn.XLOOKUP($A71&amp;$B71,Лист2!$A:$A &amp; Лист2!$B:$B,Лист2!D:D)</f>
        <v>5760</v>
      </c>
      <c r="G71" s="7" cm="1">
        <f t="array" ref="G71">_xlfn.XLOOKUP($A71&amp;$B71,Лист2!$A:$A &amp; Лист2!$B:$B,Лист2!E:E)</f>
        <v>5367</v>
      </c>
      <c r="H71">
        <f t="shared" si="2"/>
        <v>242343.44</v>
      </c>
      <c r="I71">
        <f t="shared" si="3"/>
        <v>22</v>
      </c>
    </row>
    <row r="72" spans="1:9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 s="7" cm="1">
        <f t="array" ref="E72">_xlfn.XLOOKUP($A72&amp;$B72,Лист2!$A:$A &amp; Лист2!$B:$B,Лист2!C:C)</f>
        <v>10</v>
      </c>
      <c r="F72" s="7" cm="1">
        <f t="array" ref="F72">_xlfn.XLOOKUP($A72&amp;$B72,Лист2!$A:$A &amp; Лист2!$B:$B,Лист2!D:D)</f>
        <v>402</v>
      </c>
      <c r="G72" s="7" cm="1">
        <f t="array" ref="G72">_xlfn.XLOOKUP($A72&amp;$B72,Лист2!$A:$A &amp; Лист2!$B:$B,Лист2!E:E)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25">
      <c r="A73" s="8">
        <v>43981</v>
      </c>
      <c r="B73" s="9" t="s">
        <v>11</v>
      </c>
      <c r="C73" s="9">
        <v>108123</v>
      </c>
      <c r="D73" s="9">
        <v>9164707.5</v>
      </c>
      <c r="E73" s="7" cm="1">
        <f t="array" ref="E73">_xlfn.XLOOKUP($A73&amp;$B73,Лист2!$A:$A &amp; Лист2!$B:$B,Лист2!C:C)</f>
        <v>31</v>
      </c>
      <c r="F73" s="7" cm="1">
        <f t="array" ref="F73">_xlfn.XLOOKUP($A73&amp;$B73,Лист2!$A:$A &amp; Лист2!$B:$B,Лист2!D:D)</f>
        <v>6735</v>
      </c>
      <c r="G73" s="7" cm="1">
        <f t="array" ref="G73">_xlfn.XLOOKUP($A73&amp;$B73,Лист2!$A:$A &amp; Лист2!$B:$B,Лист2!E:E)</f>
        <v>6264</v>
      </c>
      <c r="H73">
        <f t="shared" si="2"/>
        <v>295635.73</v>
      </c>
      <c r="I73">
        <f t="shared" si="3"/>
        <v>22</v>
      </c>
    </row>
    <row r="74" spans="1:9" ht="14.25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 s="7" cm="1">
        <f t="array" ref="E74">_xlfn.XLOOKUP($A74&amp;$B74,Лист2!$A:$A &amp; Лист2!$B:$B,Лист2!C:C)</f>
        <v>10</v>
      </c>
      <c r="F74" s="7" cm="1">
        <f t="array" ref="F74">_xlfn.XLOOKUP($A74&amp;$B74,Лист2!$A:$A &amp; Лист2!$B:$B,Лист2!D:D)</f>
        <v>465</v>
      </c>
      <c r="G74" s="7" cm="1">
        <f t="array" ref="G74">_xlfn.XLOOKUP($A74&amp;$B74,Лист2!$A:$A &amp; Лист2!$B:$B,Лист2!E:E)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25">
      <c r="A75" s="8">
        <v>43974</v>
      </c>
      <c r="B75" s="9" t="s">
        <v>12</v>
      </c>
      <c r="C75" s="9">
        <v>14773.5</v>
      </c>
      <c r="D75" s="9">
        <v>1241383.5</v>
      </c>
      <c r="E75" s="7" cm="1">
        <f t="array" ref="E75">_xlfn.XLOOKUP($A75&amp;$B75,Лист2!$A:$A &amp; Лист2!$B:$B,Лист2!C:C)</f>
        <v>10</v>
      </c>
      <c r="F75" s="7" cm="1">
        <f t="array" ref="F75">_xlfn.XLOOKUP($A75&amp;$B75,Лист2!$A:$A &amp; Лист2!$B:$B,Лист2!D:D)</f>
        <v>828</v>
      </c>
      <c r="G75" s="7" cm="1">
        <f t="array" ref="G75">_xlfn.XLOOKUP($A75&amp;$B75,Лист2!$A:$A &amp; Лист2!$B:$B,Лист2!E:E)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 s="7" cm="1">
        <f t="array" ref="E76">_xlfn.XLOOKUP($A76&amp;$B76,Лист2!$A:$A &amp; Лист2!$B:$B,Лист2!C:C)</f>
        <v>31</v>
      </c>
      <c r="F76" s="7" cm="1">
        <f t="array" ref="F76">_xlfn.XLOOKUP($A76&amp;$B76,Лист2!$A:$A &amp; Лист2!$B:$B,Лист2!D:D)</f>
        <v>5355</v>
      </c>
      <c r="G76" s="7" cm="1">
        <f t="array" ref="G76">_xlfn.XLOOKUP($A76&amp;$B76,Лист2!$A:$A &amp; Лист2!$B:$B,Лист2!E:E)</f>
        <v>4969</v>
      </c>
      <c r="H76">
        <f t="shared" si="2"/>
        <v>214244.18</v>
      </c>
      <c r="I76">
        <f t="shared" si="3"/>
        <v>22</v>
      </c>
    </row>
    <row r="77" spans="1:9" ht="14.25" customHeight="1" x14ac:dyDescent="0.25">
      <c r="A77" s="8">
        <v>43976</v>
      </c>
      <c r="B77" s="9" t="s">
        <v>12</v>
      </c>
      <c r="C77" s="9">
        <v>12280.5</v>
      </c>
      <c r="D77" s="9">
        <v>1030440</v>
      </c>
      <c r="E77" s="7" cm="1">
        <f t="array" ref="E77">_xlfn.XLOOKUP($A77&amp;$B77,Лист2!$A:$A &amp; Лист2!$B:$B,Лист2!C:C)</f>
        <v>10</v>
      </c>
      <c r="F77" s="7" cm="1">
        <f t="array" ref="F77">_xlfn.XLOOKUP($A77&amp;$B77,Лист2!$A:$A &amp; Лист2!$B:$B,Лист2!D:D)</f>
        <v>739</v>
      </c>
      <c r="G77" s="7" cm="1">
        <f t="array" ref="G77">_xlfn.XLOOKUP($A77&amp;$B77,Лист2!$A:$A &amp; Лист2!$B:$B,Лист2!E:E)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 s="7" cm="1">
        <f t="array" ref="E78">_xlfn.XLOOKUP($A78&amp;$B78,Лист2!$A:$A &amp; Лист2!$B:$B,Лист2!C:C)</f>
        <v>10</v>
      </c>
      <c r="F78" s="7" cm="1">
        <f t="array" ref="F78">_xlfn.XLOOKUP($A78&amp;$B78,Лист2!$A:$A &amp; Лист2!$B:$B,Лист2!D:D)</f>
        <v>448</v>
      </c>
      <c r="G78" s="7" cm="1">
        <f t="array" ref="G78">_xlfn.XLOOKUP($A78&amp;$B78,Лист2!$A:$A &amp; Лист2!$B:$B,Лист2!E:E)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25">
      <c r="A79" s="8">
        <v>43961</v>
      </c>
      <c r="B79" s="9" t="s">
        <v>12</v>
      </c>
      <c r="C79" s="9">
        <v>12918</v>
      </c>
      <c r="D79" s="9">
        <v>1004788.5</v>
      </c>
      <c r="E79" s="7" cm="1">
        <f t="array" ref="E79">_xlfn.XLOOKUP($A79&amp;$B79,Лист2!$A:$A &amp; Лист2!$B:$B,Лист2!C:C)</f>
        <v>10</v>
      </c>
      <c r="F79" s="7" cm="1">
        <f t="array" ref="F79">_xlfn.XLOOKUP($A79&amp;$B79,Лист2!$A:$A &amp; Лист2!$B:$B,Лист2!D:D)</f>
        <v>642</v>
      </c>
      <c r="G79" s="7" cm="1">
        <f t="array" ref="G79">_xlfn.XLOOKUP($A79&amp;$B79,Лист2!$A:$A &amp; Лист2!$B:$B,Лист2!E:E)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 s="7" cm="1">
        <f t="array" ref="E80">_xlfn.XLOOKUP($A80&amp;$B80,Лист2!$A:$A &amp; Лист2!$B:$B,Лист2!C:C)</f>
        <v>10</v>
      </c>
      <c r="F80" s="7" cm="1">
        <f t="array" ref="F80">_xlfn.XLOOKUP($A80&amp;$B80,Лист2!$A:$A &amp; Лист2!$B:$B,Лист2!D:D)</f>
        <v>638</v>
      </c>
      <c r="G80" s="7" cm="1">
        <f t="array" ref="G80">_xlfn.XLOOKUP($A80&amp;$B80,Лист2!$A:$A &amp; Лист2!$B:$B,Лист2!E:E)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25">
      <c r="A81" s="8">
        <v>43958</v>
      </c>
      <c r="B81" s="9" t="s">
        <v>12</v>
      </c>
      <c r="C81" s="9">
        <v>11029.5</v>
      </c>
      <c r="D81" s="9">
        <v>863754</v>
      </c>
      <c r="E81" s="7" cm="1">
        <f t="array" ref="E81">_xlfn.XLOOKUP($A81&amp;$B81,Лист2!$A:$A &amp; Лист2!$B:$B,Лист2!C:C)</f>
        <v>10</v>
      </c>
      <c r="F81" s="7" cm="1">
        <f t="array" ref="F81">_xlfn.XLOOKUP($A81&amp;$B81,Лист2!$A:$A &amp; Лист2!$B:$B,Лист2!D:D)</f>
        <v>563</v>
      </c>
      <c r="G81" s="7" cm="1">
        <f t="array" ref="G81">_xlfn.XLOOKUP($A81&amp;$B81,Лист2!$A:$A &amp; Лист2!$B:$B,Лист2!E:E)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 s="7" cm="1">
        <f t="array" ref="E82">_xlfn.XLOOKUP($A82&amp;$B82,Лист2!$A:$A &amp; Лист2!$B:$B,Лист2!C:C)</f>
        <v>10</v>
      </c>
      <c r="F82" s="7" cm="1">
        <f t="array" ref="F82">_xlfn.XLOOKUP($A82&amp;$B82,Лист2!$A:$A &amp; Лист2!$B:$B,Лист2!D:D)</f>
        <v>639</v>
      </c>
      <c r="G82" s="7" cm="1">
        <f t="array" ref="G82">_xlfn.XLOOKUP($A82&amp;$B82,Лист2!$A:$A &amp; Лист2!$B:$B,Лист2!E:E)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25">
      <c r="A83" s="8">
        <v>43982</v>
      </c>
      <c r="B83" s="9" t="s">
        <v>12</v>
      </c>
      <c r="C83" s="9">
        <v>12724.5</v>
      </c>
      <c r="D83" s="9">
        <v>1045515</v>
      </c>
      <c r="E83" s="7" cm="1">
        <f t="array" ref="E83">_xlfn.XLOOKUP($A83&amp;$B83,Лист2!$A:$A &amp; Лист2!$B:$B,Лист2!C:C)</f>
        <v>10</v>
      </c>
      <c r="F83" s="7" cm="1">
        <f t="array" ref="F83">_xlfn.XLOOKUP($A83&amp;$B83,Лист2!$A:$A &amp; Лист2!$B:$B,Лист2!D:D)</f>
        <v>749</v>
      </c>
      <c r="G83" s="7" cm="1">
        <f t="array" ref="G83">_xlfn.XLOOKUP($A83&amp;$B83,Лист2!$A:$A &amp; Лист2!$B:$B,Лист2!E:E)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 s="7" cm="1">
        <f t="array" ref="E84">_xlfn.XLOOKUP($A84&amp;$B84,Лист2!$A:$A &amp; Лист2!$B:$B,Лист2!C:C)</f>
        <v>10</v>
      </c>
      <c r="F84" s="7" cm="1">
        <f t="array" ref="F84">_xlfn.XLOOKUP($A84&amp;$B84,Лист2!$A:$A &amp; Лист2!$B:$B,Лист2!D:D)</f>
        <v>865</v>
      </c>
      <c r="G84" s="7" cm="1">
        <f t="array" ref="G84">_xlfn.XLOOKUP($A84&amp;$B84,Лист2!$A:$A &amp; Лист2!$B:$B,Лист2!E:E)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25">
      <c r="A85" s="8">
        <v>43979</v>
      </c>
      <c r="B85" s="9" t="s">
        <v>12</v>
      </c>
      <c r="C85" s="9">
        <v>13038</v>
      </c>
      <c r="D85" s="9">
        <v>1114552.5</v>
      </c>
      <c r="E85" s="7" cm="1">
        <f t="array" ref="E85">_xlfn.XLOOKUP($A85&amp;$B85,Лист2!$A:$A &amp; Лист2!$B:$B,Лист2!C:C)</f>
        <v>10</v>
      </c>
      <c r="F85" s="7" cm="1">
        <f t="array" ref="F85">_xlfn.XLOOKUP($A85&amp;$B85,Лист2!$A:$A &amp; Лист2!$B:$B,Лист2!D:D)</f>
        <v>791</v>
      </c>
      <c r="G85" s="7" cm="1">
        <f t="array" ref="G85">_xlfn.XLOOKUP($A85&amp;$B85,Лист2!$A:$A &amp; Лист2!$B:$B,Лист2!E:E)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 s="7" cm="1">
        <f t="array" ref="E86">_xlfn.XLOOKUP($A86&amp;$B86,Лист2!$A:$A &amp; Лист2!$B:$B,Лист2!C:C)</f>
        <v>19</v>
      </c>
      <c r="F86" s="7" cm="1">
        <f t="array" ref="F86">_xlfn.XLOOKUP($A86&amp;$B86,Лист2!$A:$A &amp; Лист2!$B:$B,Лист2!D:D)</f>
        <v>2080</v>
      </c>
      <c r="G86" s="7" cm="1">
        <f t="array" ref="G86">_xlfn.XLOOKUP($A86&amp;$B86,Лист2!$A:$A &amp; Лист2!$B:$B,Лист2!E:E)</f>
        <v>1844</v>
      </c>
      <c r="H86">
        <f t="shared" si="2"/>
        <v>169606.18</v>
      </c>
      <c r="I86">
        <f t="shared" si="3"/>
        <v>20</v>
      </c>
    </row>
    <row r="87" spans="1:9" ht="14.25" customHeight="1" x14ac:dyDescent="0.25">
      <c r="A87" s="8">
        <v>43970</v>
      </c>
      <c r="B87" s="9" t="s">
        <v>13</v>
      </c>
      <c r="C87" s="9">
        <v>32434.5</v>
      </c>
      <c r="D87" s="9">
        <v>2865337.5</v>
      </c>
      <c r="E87" s="7" cm="1">
        <f t="array" ref="E87">_xlfn.XLOOKUP($A87&amp;$B87,Лист2!$A:$A &amp; Лист2!$B:$B,Лист2!C:C)</f>
        <v>19</v>
      </c>
      <c r="F87" s="7" cm="1">
        <f t="array" ref="F87">_xlfn.XLOOKUP($A87&amp;$B87,Лист2!$A:$A &amp; Лист2!$B:$B,Лист2!D:D)</f>
        <v>1999</v>
      </c>
      <c r="G87" s="7" cm="1">
        <f t="array" ref="G87">_xlfn.XLOOKUP($A87&amp;$B87,Лист2!$A:$A &amp; Лист2!$B:$B,Лист2!E:E)</f>
        <v>1799</v>
      </c>
      <c r="H87">
        <f t="shared" si="2"/>
        <v>150807.24</v>
      </c>
      <c r="I87">
        <f t="shared" si="3"/>
        <v>21</v>
      </c>
    </row>
    <row r="88" spans="1:9" ht="14.25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 s="7" cm="1">
        <f t="array" ref="E88">_xlfn.XLOOKUP($A88&amp;$B88,Лист2!$A:$A &amp; Лист2!$B:$B,Лист2!C:C)</f>
        <v>19</v>
      </c>
      <c r="F88" s="7" cm="1">
        <f t="array" ref="F88">_xlfn.XLOOKUP($A88&amp;$B88,Лист2!$A:$A &amp; Лист2!$B:$B,Лист2!D:D)</f>
        <v>1871</v>
      </c>
      <c r="G88" s="7" cm="1">
        <f t="array" ref="G88">_xlfn.XLOOKUP($A88&amp;$B88,Лист2!$A:$A &amp; Лист2!$B:$B,Лист2!E:E)</f>
        <v>1660</v>
      </c>
      <c r="H88">
        <f t="shared" si="2"/>
        <v>141804.71</v>
      </c>
      <c r="I88">
        <f t="shared" si="3"/>
        <v>20</v>
      </c>
    </row>
    <row r="89" spans="1:9" ht="14.25" customHeight="1" x14ac:dyDescent="0.25">
      <c r="A89" s="8">
        <v>43960</v>
      </c>
      <c r="B89" s="9" t="s">
        <v>13</v>
      </c>
      <c r="C89" s="9">
        <v>32079</v>
      </c>
      <c r="D89" s="9">
        <v>2902167</v>
      </c>
      <c r="E89" s="7" cm="1">
        <f t="array" ref="E89">_xlfn.XLOOKUP($A89&amp;$B89,Лист2!$A:$A &amp; Лист2!$B:$B,Лист2!C:C)</f>
        <v>19</v>
      </c>
      <c r="F89" s="7" cm="1">
        <f t="array" ref="F89">_xlfn.XLOOKUP($A89&amp;$B89,Лист2!$A:$A &amp; Лист2!$B:$B,Лист2!D:D)</f>
        <v>1851</v>
      </c>
      <c r="G89" s="7" cm="1">
        <f t="array" ref="G89">_xlfn.XLOOKUP($A89&amp;$B89,Лист2!$A:$A &amp; Лист2!$B:$B,Лист2!E:E)</f>
        <v>1635</v>
      </c>
      <c r="H89">
        <f t="shared" si="2"/>
        <v>152745.63</v>
      </c>
      <c r="I89">
        <f t="shared" si="3"/>
        <v>19</v>
      </c>
    </row>
    <row r="90" spans="1:9" ht="14.25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 s="7" cm="1">
        <f t="array" ref="E90">_xlfn.XLOOKUP($A90&amp;$B90,Лист2!$A:$A &amp; Лист2!$B:$B,Лист2!C:C)</f>
        <v>19</v>
      </c>
      <c r="F90" s="7" cm="1">
        <f t="array" ref="F90">_xlfn.XLOOKUP($A90&amp;$B90,Лист2!$A:$A &amp; Лист2!$B:$B,Лист2!D:D)</f>
        <v>1582</v>
      </c>
      <c r="G90" s="7" cm="1">
        <f t="array" ref="G90">_xlfn.XLOOKUP($A90&amp;$B90,Лист2!$A:$A &amp; Лист2!$B:$B,Лист2!E:E)</f>
        <v>1403</v>
      </c>
      <c r="H90">
        <f t="shared" si="2"/>
        <v>128998.34</v>
      </c>
      <c r="I90">
        <f t="shared" si="3"/>
        <v>19</v>
      </c>
    </row>
    <row r="91" spans="1:9" ht="14.25" customHeight="1" x14ac:dyDescent="0.25">
      <c r="A91" s="8">
        <v>43950</v>
      </c>
      <c r="B91" s="9" t="s">
        <v>13</v>
      </c>
      <c r="C91" s="9">
        <v>25917</v>
      </c>
      <c r="D91" s="9">
        <v>2397588</v>
      </c>
      <c r="E91" s="7" cm="1">
        <f t="array" ref="E91">_xlfn.XLOOKUP($A91&amp;$B91,Лист2!$A:$A &amp; Лист2!$B:$B,Лист2!C:C)</f>
        <v>18</v>
      </c>
      <c r="F91" s="7" cm="1">
        <f t="array" ref="F91">_xlfn.XLOOKUP($A91&amp;$B91,Лист2!$A:$A &amp; Лист2!$B:$B,Лист2!D:D)</f>
        <v>1534</v>
      </c>
      <c r="G91" s="7" cm="1">
        <f t="array" ref="G91">_xlfn.XLOOKUP($A91&amp;$B91,Лист2!$A:$A &amp; Лист2!$B:$B,Лист2!E:E)</f>
        <v>1369</v>
      </c>
      <c r="H91">
        <f t="shared" si="2"/>
        <v>133199.32999999999</v>
      </c>
      <c r="I91">
        <f t="shared" si="3"/>
        <v>18</v>
      </c>
    </row>
    <row r="92" spans="1:9" ht="14.25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 s="7" cm="1">
        <f t="array" ref="E92">_xlfn.XLOOKUP($A92&amp;$B92,Лист2!$A:$A &amp; Лист2!$B:$B,Лист2!C:C)</f>
        <v>19</v>
      </c>
      <c r="F92" s="7" cm="1">
        <f t="array" ref="F92">_xlfn.XLOOKUP($A92&amp;$B92,Лист2!$A:$A &amp; Лист2!$B:$B,Лист2!D:D)</f>
        <v>1217</v>
      </c>
      <c r="G92" s="7" cm="1">
        <f t="array" ref="G92">_xlfn.XLOOKUP($A92&amp;$B92,Лист2!$A:$A &amp; Лист2!$B:$B,Лист2!E:E)</f>
        <v>1048</v>
      </c>
      <c r="H92">
        <f t="shared" si="2"/>
        <v>94696.34</v>
      </c>
      <c r="I92">
        <f t="shared" si="3"/>
        <v>18</v>
      </c>
    </row>
    <row r="93" spans="1:9" ht="14.25" customHeight="1" x14ac:dyDescent="0.25">
      <c r="A93" s="8">
        <v>43977</v>
      </c>
      <c r="B93" s="9" t="s">
        <v>13</v>
      </c>
      <c r="C93" s="9">
        <v>31407</v>
      </c>
      <c r="D93" s="9">
        <v>2907411</v>
      </c>
      <c r="E93" s="7" cm="1">
        <f t="array" ref="E93">_xlfn.XLOOKUP($A93&amp;$B93,Лист2!$A:$A &amp; Лист2!$B:$B,Лист2!C:C)</f>
        <v>20</v>
      </c>
      <c r="F93" s="7" cm="1">
        <f t="array" ref="F93">_xlfn.XLOOKUP($A93&amp;$B93,Лист2!$A:$A &amp; Лист2!$B:$B,Лист2!D:D)</f>
        <v>2036</v>
      </c>
      <c r="G93" s="7" cm="1">
        <f t="array" ref="G93">_xlfn.XLOOKUP($A93&amp;$B93,Лист2!$A:$A &amp; Лист2!$B:$B,Лист2!E:E)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 s="7" cm="1">
        <f t="array" ref="E94">_xlfn.XLOOKUP($A94&amp;$B94,Лист2!$A:$A &amp; Лист2!$B:$B,Лист2!C:C)</f>
        <v>19</v>
      </c>
      <c r="F94" s="7" cm="1">
        <f t="array" ref="F94">_xlfn.XLOOKUP($A94&amp;$B94,Лист2!$A:$A &amp; Лист2!$B:$B,Лист2!D:D)</f>
        <v>1497</v>
      </c>
      <c r="G94" s="7" cm="1">
        <f t="array" ref="G94">_xlfn.XLOOKUP($A94&amp;$B94,Лист2!$A:$A &amp; Лист2!$B:$B,Лист2!E:E)</f>
        <v>1291</v>
      </c>
      <c r="H94">
        <f t="shared" si="2"/>
        <v>124966.11</v>
      </c>
      <c r="I94">
        <f t="shared" si="3"/>
        <v>18</v>
      </c>
    </row>
    <row r="95" spans="1:9" ht="14.25" customHeight="1" x14ac:dyDescent="0.25">
      <c r="A95" s="8">
        <v>43963</v>
      </c>
      <c r="B95" s="9" t="s">
        <v>13</v>
      </c>
      <c r="C95" s="9">
        <v>26032.5</v>
      </c>
      <c r="D95" s="9">
        <v>2370432</v>
      </c>
      <c r="E95" s="7" cm="1">
        <f t="array" ref="E95">_xlfn.XLOOKUP($A95&amp;$B95,Лист2!$A:$A &amp; Лист2!$B:$B,Лист2!C:C)</f>
        <v>19</v>
      </c>
      <c r="F95" s="7" cm="1">
        <f t="array" ref="F95">_xlfn.XLOOKUP($A95&amp;$B95,Лист2!$A:$A &amp; Лист2!$B:$B,Лист2!D:D)</f>
        <v>1649</v>
      </c>
      <c r="G95" s="7" cm="1">
        <f t="array" ref="G95">_xlfn.XLOOKUP($A95&amp;$B95,Лист2!$A:$A &amp; Лист2!$B:$B,Лист2!E:E)</f>
        <v>1460</v>
      </c>
      <c r="H95">
        <f t="shared" si="2"/>
        <v>124759.58</v>
      </c>
      <c r="I95">
        <f t="shared" si="3"/>
        <v>20</v>
      </c>
    </row>
    <row r="96" spans="1:9" ht="14.25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 s="7" cm="1">
        <f t="array" ref="E96">_xlfn.XLOOKUP($A96&amp;$B96,Лист2!$A:$A &amp; Лист2!$B:$B,Лист2!C:C)</f>
        <v>19</v>
      </c>
      <c r="F96" s="7" cm="1">
        <f t="array" ref="F96">_xlfn.XLOOKUP($A96&amp;$B96,Лист2!$A:$A &amp; Лист2!$B:$B,Лист2!D:D)</f>
        <v>1949</v>
      </c>
      <c r="G96" s="7" cm="1">
        <f t="array" ref="G96">_xlfn.XLOOKUP($A96&amp;$B96,Лист2!$A:$A &amp; Лист2!$B:$B,Лист2!E:E)</f>
        <v>1724</v>
      </c>
      <c r="H96">
        <f t="shared" si="2"/>
        <v>150167.45000000001</v>
      </c>
      <c r="I96">
        <f t="shared" si="3"/>
        <v>21</v>
      </c>
    </row>
    <row r="97" spans="1:9" ht="14.25" customHeight="1" x14ac:dyDescent="0.25">
      <c r="A97" s="8">
        <v>43971</v>
      </c>
      <c r="B97" s="9" t="s">
        <v>13</v>
      </c>
      <c r="C97" s="9">
        <v>29955</v>
      </c>
      <c r="D97" s="9">
        <v>2692230</v>
      </c>
      <c r="E97" s="7" cm="1">
        <f t="array" ref="E97">_xlfn.XLOOKUP($A97&amp;$B97,Лист2!$A:$A &amp; Лист2!$B:$B,Лист2!C:C)</f>
        <v>19</v>
      </c>
      <c r="F97" s="7" cm="1">
        <f t="array" ref="F97">_xlfn.XLOOKUP($A97&amp;$B97,Лист2!$A:$A &amp; Лист2!$B:$B,Лист2!D:D)</f>
        <v>1889</v>
      </c>
      <c r="G97" s="7" cm="1">
        <f t="array" ref="G97">_xlfn.XLOOKUP($A97&amp;$B97,Лист2!$A:$A &amp; Лист2!$B:$B,Лист2!E:E)</f>
        <v>1690</v>
      </c>
      <c r="H97">
        <f t="shared" si="2"/>
        <v>141696.32000000001</v>
      </c>
      <c r="I97">
        <f t="shared" si="3"/>
        <v>21</v>
      </c>
    </row>
    <row r="98" spans="1:9" ht="14.25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 s="7" cm="1">
        <f t="array" ref="E98">_xlfn.XLOOKUP($A98&amp;$B98,Лист2!$A:$A &amp; Лист2!$B:$B,Лист2!C:C)</f>
        <v>19</v>
      </c>
      <c r="F98" s="7" cm="1">
        <f t="array" ref="F98">_xlfn.XLOOKUP($A98&amp;$B98,Лист2!$A:$A &amp; Лист2!$B:$B,Лист2!D:D)</f>
        <v>1417</v>
      </c>
      <c r="G98" s="7" cm="1">
        <f t="array" ref="G98">_xlfn.XLOOKUP($A98&amp;$B98,Лист2!$A:$A &amp; Лист2!$B:$B,Лист2!E:E)</f>
        <v>1245</v>
      </c>
      <c r="H98">
        <f t="shared" si="2"/>
        <v>109468.42</v>
      </c>
      <c r="I98">
        <f t="shared" si="3"/>
        <v>19</v>
      </c>
    </row>
    <row r="99" spans="1:9" ht="14.25" customHeight="1" x14ac:dyDescent="0.25">
      <c r="A99" s="8">
        <v>43949</v>
      </c>
      <c r="B99" s="9" t="s">
        <v>13</v>
      </c>
      <c r="C99" s="9">
        <v>23314.5</v>
      </c>
      <c r="D99" s="9">
        <v>2136817.5</v>
      </c>
      <c r="E99" s="7" cm="1">
        <f t="array" ref="E99">_xlfn.XLOOKUP($A99&amp;$B99,Лист2!$A:$A &amp; Лист2!$B:$B,Лист2!C:C)</f>
        <v>17</v>
      </c>
      <c r="F99" s="7" cm="1">
        <f t="array" ref="F99">_xlfn.XLOOKUP($A99&amp;$B99,Лист2!$A:$A &amp; Лист2!$B:$B,Лист2!D:D)</f>
        <v>1439</v>
      </c>
      <c r="G99" s="7" cm="1">
        <f t="array" ref="G99">_xlfn.XLOOKUP($A99&amp;$B99,Лист2!$A:$A &amp; Лист2!$B:$B,Лист2!E:E)</f>
        <v>1265</v>
      </c>
      <c r="H99">
        <f t="shared" si="2"/>
        <v>125695.15</v>
      </c>
      <c r="I99">
        <f t="shared" si="3"/>
        <v>18</v>
      </c>
    </row>
    <row r="100" spans="1:9" ht="14.25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 s="7" cm="1">
        <f t="array" ref="E100">_xlfn.XLOOKUP($A100&amp;$B100,Лист2!$A:$A &amp; Лист2!$B:$B,Лист2!C:C)</f>
        <v>19</v>
      </c>
      <c r="F100" s="7" cm="1">
        <f t="array" ref="F100">_xlfn.XLOOKUP($A100&amp;$B100,Лист2!$A:$A &amp; Лист2!$B:$B,Лист2!D:D)</f>
        <v>1625</v>
      </c>
      <c r="G100" s="7" cm="1">
        <f t="array" ref="G100">_xlfn.XLOOKUP($A100&amp;$B100,Лист2!$A:$A &amp; Лист2!$B:$B,Лист2!E:E)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25">
      <c r="A101" s="8">
        <v>43954</v>
      </c>
      <c r="B101" s="9" t="s">
        <v>13</v>
      </c>
      <c r="C101" s="9">
        <v>23539.5</v>
      </c>
      <c r="D101" s="9">
        <v>2170309.5</v>
      </c>
      <c r="E101" s="7" cm="1">
        <f t="array" ref="E101">_xlfn.XLOOKUP($A101&amp;$B101,Лист2!$A:$A &amp; Лист2!$B:$B,Лист2!C:C)</f>
        <v>19</v>
      </c>
      <c r="F101" s="7" cm="1">
        <f t="array" ref="F101">_xlfn.XLOOKUP($A101&amp;$B101,Лист2!$A:$A &amp; Лист2!$B:$B,Лист2!D:D)</f>
        <v>1402</v>
      </c>
      <c r="G101" s="7" cm="1">
        <f t="array" ref="G101">_xlfn.XLOOKUP($A101&amp;$B101,Лист2!$A:$A &amp; Лист2!$B:$B,Лист2!E:E)</f>
        <v>1234</v>
      </c>
      <c r="H101">
        <f t="shared" si="2"/>
        <v>114226.82</v>
      </c>
      <c r="I101">
        <f t="shared" si="3"/>
        <v>18</v>
      </c>
    </row>
    <row r="102" spans="1:9" ht="14.25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 s="7" cm="1">
        <f t="array" ref="E102">_xlfn.XLOOKUP($A102&amp;$B102,Лист2!$A:$A &amp; Лист2!$B:$B,Лист2!C:C)</f>
        <v>19</v>
      </c>
      <c r="F102" s="7" cm="1">
        <f t="array" ref="F102">_xlfn.XLOOKUP($A102&amp;$B102,Лист2!$A:$A &amp; Лист2!$B:$B,Лист2!D:D)</f>
        <v>1499</v>
      </c>
      <c r="G102" s="7" cm="1">
        <f t="array" ref="G102">_xlfn.XLOOKUP($A102&amp;$B102,Лист2!$A:$A &amp; Лист2!$B:$B,Лист2!E:E)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25">
      <c r="A103" s="8">
        <v>43974</v>
      </c>
      <c r="B103" s="9" t="s">
        <v>13</v>
      </c>
      <c r="C103" s="9">
        <v>38176.5</v>
      </c>
      <c r="D103" s="9">
        <v>3385372.5</v>
      </c>
      <c r="E103" s="7" cm="1">
        <f t="array" ref="E103">_xlfn.XLOOKUP($A103&amp;$B103,Лист2!$A:$A &amp; Лист2!$B:$B,Лист2!C:C)</f>
        <v>20</v>
      </c>
      <c r="F103" s="7" cm="1">
        <f t="array" ref="F103">_xlfn.XLOOKUP($A103&amp;$B103,Лист2!$A:$A &amp; Лист2!$B:$B,Лист2!D:D)</f>
        <v>2266</v>
      </c>
      <c r="G103" s="7" cm="1">
        <f t="array" ref="G103">_xlfn.XLOOKUP($A103&amp;$B103,Лист2!$A:$A &amp; Лист2!$B:$B,Лист2!E:E)</f>
        <v>1993</v>
      </c>
      <c r="H103">
        <f t="shared" si="2"/>
        <v>169268.63</v>
      </c>
      <c r="I103">
        <f t="shared" si="3"/>
        <v>21</v>
      </c>
    </row>
    <row r="104" spans="1:9" ht="14.25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 s="7" cm="1">
        <f t="array" ref="E104">_xlfn.XLOOKUP($A104&amp;$B104,Лист2!$A:$A &amp; Лист2!$B:$B,Лист2!C:C)</f>
        <v>20</v>
      </c>
      <c r="F104" s="7" cm="1">
        <f t="array" ref="F104">_xlfn.XLOOKUP($A104&amp;$B104,Лист2!$A:$A &amp; Лист2!$B:$B,Лист2!D:D)</f>
        <v>2011</v>
      </c>
      <c r="G104" s="7" cm="1">
        <f t="array" ref="G104">_xlfn.XLOOKUP($A104&amp;$B104,Лист2!$A:$A &amp; Лист2!$B:$B,Лист2!E:E)</f>
        <v>1791</v>
      </c>
      <c r="H104">
        <f t="shared" si="2"/>
        <v>143286.38</v>
      </c>
      <c r="I104">
        <f t="shared" si="3"/>
        <v>22</v>
      </c>
    </row>
    <row r="105" spans="1:9" ht="14.25" customHeight="1" x14ac:dyDescent="0.25">
      <c r="A105" s="8">
        <v>43951</v>
      </c>
      <c r="B105" s="9" t="s">
        <v>13</v>
      </c>
      <c r="C105" s="9">
        <v>24211.5</v>
      </c>
      <c r="D105" s="9">
        <v>2267664</v>
      </c>
      <c r="E105" s="7" cm="1">
        <f t="array" ref="E105">_xlfn.XLOOKUP($A105&amp;$B105,Лист2!$A:$A &amp; Лист2!$B:$B,Лист2!C:C)</f>
        <v>19</v>
      </c>
      <c r="F105" s="7" cm="1">
        <f t="array" ref="F105">_xlfn.XLOOKUP($A105&amp;$B105,Лист2!$A:$A &amp; Лист2!$B:$B,Лист2!D:D)</f>
        <v>1499</v>
      </c>
      <c r="G105" s="7" cm="1">
        <f t="array" ref="G105">_xlfn.XLOOKUP($A105&amp;$B105,Лист2!$A:$A &amp; Лист2!$B:$B,Лист2!E:E)</f>
        <v>1322</v>
      </c>
      <c r="H105">
        <f t="shared" si="2"/>
        <v>119350.74</v>
      </c>
      <c r="I105">
        <f t="shared" si="3"/>
        <v>18</v>
      </c>
    </row>
    <row r="106" spans="1:9" ht="14.25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 s="7" cm="1">
        <f t="array" ref="E106">_xlfn.XLOOKUP($A106&amp;$B106,Лист2!$A:$A &amp; Лист2!$B:$B,Лист2!C:C)</f>
        <v>19</v>
      </c>
      <c r="F106" s="7" cm="1">
        <f t="array" ref="F106">_xlfn.XLOOKUP($A106&amp;$B106,Лист2!$A:$A &amp; Лист2!$B:$B,Лист2!D:D)</f>
        <v>1848</v>
      </c>
      <c r="G106" s="7" cm="1">
        <f t="array" ref="G106">_xlfn.XLOOKUP($A106&amp;$B106,Лист2!$A:$A &amp; Лист2!$B:$B,Лист2!E:E)</f>
        <v>1649</v>
      </c>
      <c r="H106">
        <f t="shared" si="2"/>
        <v>150647.29</v>
      </c>
      <c r="I106">
        <f t="shared" si="3"/>
        <v>19</v>
      </c>
    </row>
    <row r="107" spans="1:9" ht="14.25" customHeight="1" x14ac:dyDescent="0.25">
      <c r="A107" s="8">
        <v>43959</v>
      </c>
      <c r="B107" s="9" t="s">
        <v>13</v>
      </c>
      <c r="C107" s="9">
        <v>25294.5</v>
      </c>
      <c r="D107" s="9">
        <v>2271454.5</v>
      </c>
      <c r="E107" s="7" cm="1">
        <f t="array" ref="E107">_xlfn.XLOOKUP($A107&amp;$B107,Лист2!$A:$A &amp; Лист2!$B:$B,Лист2!C:C)</f>
        <v>19</v>
      </c>
      <c r="F107" s="7" cm="1">
        <f t="array" ref="F107">_xlfn.XLOOKUP($A107&amp;$B107,Лист2!$A:$A &amp; Лист2!$B:$B,Лист2!D:D)</f>
        <v>1522</v>
      </c>
      <c r="G107" s="7" cm="1">
        <f t="array" ref="G107">_xlfn.XLOOKUP($A107&amp;$B107,Лист2!$A:$A &amp; Лист2!$B:$B,Лист2!E:E)</f>
        <v>1340</v>
      </c>
      <c r="H107">
        <f t="shared" si="2"/>
        <v>119550.24</v>
      </c>
      <c r="I107">
        <f t="shared" si="3"/>
        <v>19</v>
      </c>
    </row>
    <row r="108" spans="1:9" ht="14.25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 s="7" cm="1">
        <f t="array" ref="E108">_xlfn.XLOOKUP($A108&amp;$B108,Лист2!$A:$A &amp; Лист2!$B:$B,Лист2!C:C)</f>
        <v>19</v>
      </c>
      <c r="F108" s="7" cm="1">
        <f t="array" ref="F108">_xlfn.XLOOKUP($A108&amp;$B108,Лист2!$A:$A &amp; Лист2!$B:$B,Лист2!D:D)</f>
        <v>1530</v>
      </c>
      <c r="G108" s="7" cm="1">
        <f t="array" ref="G108">_xlfn.XLOOKUP($A108&amp;$B108,Лист2!$A:$A &amp; Лист2!$B:$B,Лист2!E:E)</f>
        <v>1338</v>
      </c>
      <c r="H108">
        <f t="shared" si="2"/>
        <v>123719.61</v>
      </c>
      <c r="I108">
        <f t="shared" si="3"/>
        <v>19</v>
      </c>
    </row>
    <row r="109" spans="1:9" ht="14.25" customHeight="1" x14ac:dyDescent="0.25">
      <c r="A109" s="8">
        <v>43975</v>
      </c>
      <c r="B109" s="9" t="s">
        <v>13</v>
      </c>
      <c r="C109" s="9">
        <v>31854</v>
      </c>
      <c r="D109" s="9">
        <v>2915533.5</v>
      </c>
      <c r="E109" s="7" cm="1">
        <f t="array" ref="E109">_xlfn.XLOOKUP($A109&amp;$B109,Лист2!$A:$A &amp; Лист2!$B:$B,Лист2!C:C)</f>
        <v>20</v>
      </c>
      <c r="F109" s="7" cm="1">
        <f t="array" ref="F109">_xlfn.XLOOKUP($A109&amp;$B109,Лист2!$A:$A &amp; Лист2!$B:$B,Лист2!D:D)</f>
        <v>2015</v>
      </c>
      <c r="G109" s="7" cm="1">
        <f t="array" ref="G109">_xlfn.XLOOKUP($A109&amp;$B109,Лист2!$A:$A &amp; Лист2!$B:$B,Лист2!E:E)</f>
        <v>1803</v>
      </c>
      <c r="H109">
        <f t="shared" si="2"/>
        <v>145776.68</v>
      </c>
      <c r="I109">
        <f t="shared" si="3"/>
        <v>21</v>
      </c>
    </row>
    <row r="110" spans="1:9" ht="14.25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 s="7" cm="1">
        <f t="array" ref="E110">_xlfn.XLOOKUP($A110&amp;$B110,Лист2!$A:$A &amp; Лист2!$B:$B,Лист2!C:C)</f>
        <v>20</v>
      </c>
      <c r="F110" s="7" cm="1">
        <f t="array" ref="F110">_xlfn.XLOOKUP($A110&amp;$B110,Лист2!$A:$A &amp; Лист2!$B:$B,Лист2!D:D)</f>
        <v>2060</v>
      </c>
      <c r="G110" s="7" cm="1">
        <f t="array" ref="G110">_xlfn.XLOOKUP($A110&amp;$B110,Лист2!$A:$A &amp; Лист2!$B:$B,Лист2!E:E)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25">
      <c r="A111" s="8">
        <v>43981</v>
      </c>
      <c r="B111" s="9" t="s">
        <v>13</v>
      </c>
      <c r="C111" s="9">
        <v>39867</v>
      </c>
      <c r="D111" s="9">
        <v>3654166.5</v>
      </c>
      <c r="E111" s="7" cm="1">
        <f t="array" ref="E111">_xlfn.XLOOKUP($A111&amp;$B111,Лист2!$A:$A &amp; Лист2!$B:$B,Лист2!C:C)</f>
        <v>20</v>
      </c>
      <c r="F111" s="7" cm="1">
        <f t="array" ref="F111">_xlfn.XLOOKUP($A111&amp;$B111,Лист2!$A:$A &amp; Лист2!$B:$B,Лист2!D:D)</f>
        <v>2451</v>
      </c>
      <c r="G111" s="7" cm="1">
        <f t="array" ref="G111">_xlfn.XLOOKUP($A111&amp;$B111,Лист2!$A:$A &amp; Лист2!$B:$B,Лист2!E:E)</f>
        <v>2178</v>
      </c>
      <c r="H111">
        <f t="shared" si="2"/>
        <v>182708.33</v>
      </c>
      <c r="I111">
        <f t="shared" si="3"/>
        <v>22</v>
      </c>
    </row>
    <row r="112" spans="1:9" ht="14.25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 s="7" cm="1">
        <f t="array" ref="E112">_xlfn.XLOOKUP($A112&amp;$B112,Лист2!$A:$A &amp; Лист2!$B:$B,Лист2!C:C)</f>
        <v>20</v>
      </c>
      <c r="F112" s="7" cm="1">
        <f t="array" ref="F112">_xlfn.XLOOKUP($A112&amp;$B112,Лист2!$A:$A &amp; Лист2!$B:$B,Лист2!D:D)</f>
        <v>2088</v>
      </c>
      <c r="G112" s="7" cm="1">
        <f t="array" ref="G112">_xlfn.XLOOKUP($A112&amp;$B112,Лист2!$A:$A &amp; Лист2!$B:$B,Лист2!E:E)</f>
        <v>1848</v>
      </c>
      <c r="H112">
        <f t="shared" si="2"/>
        <v>150210.68</v>
      </c>
      <c r="I112">
        <f t="shared" si="3"/>
        <v>22</v>
      </c>
    </row>
    <row r="113" spans="1:9" ht="14.25" customHeight="1" x14ac:dyDescent="0.25">
      <c r="A113" s="8">
        <v>43967</v>
      </c>
      <c r="B113" s="9" t="s">
        <v>14</v>
      </c>
      <c r="C113" s="9">
        <v>321412.5</v>
      </c>
      <c r="D113" s="9">
        <v>32235864</v>
      </c>
      <c r="E113" s="7" cm="1">
        <f t="array" ref="E113">_xlfn.XLOOKUP($A113&amp;$B113,Лист2!$A:$A &amp; Лист2!$B:$B,Лист2!C:C)</f>
        <v>129</v>
      </c>
      <c r="F113" s="7" cm="1">
        <f t="array" ref="F113">_xlfn.XLOOKUP($A113&amp;$B113,Лист2!$A:$A &amp; Лист2!$B:$B,Лист2!D:D)</f>
        <v>17914</v>
      </c>
      <c r="G113" s="7" cm="1">
        <f t="array" ref="G113">_xlfn.XLOOKUP($A113&amp;$B113,Лист2!$A:$A &amp; Лист2!$B:$B,Лист2!E:E)</f>
        <v>16631</v>
      </c>
      <c r="H113">
        <f t="shared" si="2"/>
        <v>249890.42</v>
      </c>
      <c r="I113">
        <f t="shared" si="3"/>
        <v>20</v>
      </c>
    </row>
    <row r="114" spans="1:9" ht="14.25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 s="7" cm="1">
        <f t="array" ref="E114">_xlfn.XLOOKUP($A114&amp;$B114,Лист2!$A:$A &amp; Лист2!$B:$B,Лист2!C:C)</f>
        <v>129</v>
      </c>
      <c r="F114" s="7" cm="1">
        <f t="array" ref="F114">_xlfn.XLOOKUP($A114&amp;$B114,Лист2!$A:$A &amp; Лист2!$B:$B,Лист2!D:D)</f>
        <v>16191</v>
      </c>
      <c r="G114" s="7" cm="1">
        <f t="array" ref="G114">_xlfn.XLOOKUP($A114&amp;$B114,Лист2!$A:$A &amp; Лист2!$B:$B,Лист2!E:E)</f>
        <v>15102</v>
      </c>
      <c r="H114">
        <f t="shared" si="2"/>
        <v>210028.09</v>
      </c>
      <c r="I114">
        <f t="shared" si="3"/>
        <v>21</v>
      </c>
    </row>
    <row r="115" spans="1:9" ht="14.25" customHeight="1" x14ac:dyDescent="0.25">
      <c r="A115" s="8">
        <v>43968</v>
      </c>
      <c r="B115" s="9" t="s">
        <v>14</v>
      </c>
      <c r="C115" s="9">
        <v>269029.5</v>
      </c>
      <c r="D115" s="9">
        <v>26659930.5</v>
      </c>
      <c r="E115" s="7" cm="1">
        <f t="array" ref="E115">_xlfn.XLOOKUP($A115&amp;$B115,Лист2!$A:$A &amp; Лист2!$B:$B,Лист2!C:C)</f>
        <v>129</v>
      </c>
      <c r="F115" s="7" cm="1">
        <f t="array" ref="F115">_xlfn.XLOOKUP($A115&amp;$B115,Лист2!$A:$A &amp; Лист2!$B:$B,Лист2!D:D)</f>
        <v>15744</v>
      </c>
      <c r="G115" s="7" cm="1">
        <f t="array" ref="G115">_xlfn.XLOOKUP($A115&amp;$B115,Лист2!$A:$A &amp; Лист2!$B:$B,Лист2!E:E)</f>
        <v>14685</v>
      </c>
      <c r="H115">
        <f t="shared" si="2"/>
        <v>206666.13</v>
      </c>
      <c r="I115">
        <f t="shared" si="3"/>
        <v>20</v>
      </c>
    </row>
    <row r="116" spans="1:9" ht="14.25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 s="7" cm="1">
        <f t="array" ref="E116">_xlfn.XLOOKUP($A116&amp;$B116,Лист2!$A:$A &amp; Лист2!$B:$B,Лист2!C:C)</f>
        <v>129</v>
      </c>
      <c r="F116" s="7" cm="1">
        <f t="array" ref="F116">_xlfn.XLOOKUP($A116&amp;$B116,Лист2!$A:$A &amp; Лист2!$B:$B,Лист2!D:D)</f>
        <v>16420</v>
      </c>
      <c r="G116" s="7" cm="1">
        <f t="array" ref="G116">_xlfn.XLOOKUP($A116&amp;$B116,Лист2!$A:$A &amp; Лист2!$B:$B,Лист2!E:E)</f>
        <v>15169</v>
      </c>
      <c r="H116">
        <f t="shared" si="2"/>
        <v>230761.23</v>
      </c>
      <c r="I116">
        <f t="shared" si="3"/>
        <v>19</v>
      </c>
    </row>
    <row r="117" spans="1:9" ht="14.25" customHeight="1" x14ac:dyDescent="0.25">
      <c r="A117" s="8">
        <v>43955</v>
      </c>
      <c r="B117" s="9" t="s">
        <v>14</v>
      </c>
      <c r="C117" s="9">
        <v>283942.5</v>
      </c>
      <c r="D117" s="9">
        <v>29357940</v>
      </c>
      <c r="E117" s="7" cm="1">
        <f t="array" ref="E117">_xlfn.XLOOKUP($A117&amp;$B117,Лист2!$A:$A &amp; Лист2!$B:$B,Лист2!C:C)</f>
        <v>129</v>
      </c>
      <c r="F117" s="7" cm="1">
        <f t="array" ref="F117">_xlfn.XLOOKUP($A117&amp;$B117,Лист2!$A:$A &amp; Лист2!$B:$B,Лист2!D:D)</f>
        <v>16525</v>
      </c>
      <c r="G117" s="7" cm="1">
        <f t="array" ref="G117">_xlfn.XLOOKUP($A117&amp;$B117,Лист2!$A:$A &amp; Лист2!$B:$B,Лист2!E:E)</f>
        <v>15310</v>
      </c>
      <c r="H117">
        <f t="shared" si="2"/>
        <v>227580.93</v>
      </c>
      <c r="I117">
        <f t="shared" si="3"/>
        <v>19</v>
      </c>
    </row>
    <row r="118" spans="1:9" ht="14.25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 s="7" cm="1">
        <f t="array" ref="E118">_xlfn.XLOOKUP($A118&amp;$B118,Лист2!$A:$A &amp; Лист2!$B:$B,Лист2!C:C)</f>
        <v>128</v>
      </c>
      <c r="F118" s="7" cm="1">
        <f t="array" ref="F118">_xlfn.XLOOKUP($A118&amp;$B118,Лист2!$A:$A &amp; Лист2!$B:$B,Лист2!D:D)</f>
        <v>17368</v>
      </c>
      <c r="G118" s="7" cm="1">
        <f t="array" ref="G118">_xlfn.XLOOKUP($A118&amp;$B118,Лист2!$A:$A &amp; Лист2!$B:$B,Лист2!E:E)</f>
        <v>16077</v>
      </c>
      <c r="H118">
        <f t="shared" si="2"/>
        <v>241166.31</v>
      </c>
      <c r="I118">
        <f t="shared" si="3"/>
        <v>18</v>
      </c>
    </row>
    <row r="119" spans="1:9" ht="14.25" customHeight="1" x14ac:dyDescent="0.25">
      <c r="A119" s="8">
        <v>43953</v>
      </c>
      <c r="B119" s="9" t="s">
        <v>14</v>
      </c>
      <c r="C119" s="9">
        <v>232903.5</v>
      </c>
      <c r="D119" s="9">
        <v>24342016.5</v>
      </c>
      <c r="E119" s="7" cm="1">
        <f t="array" ref="E119">_xlfn.XLOOKUP($A119&amp;$B119,Лист2!$A:$A &amp; Лист2!$B:$B,Лист2!C:C)</f>
        <v>129</v>
      </c>
      <c r="F119" s="7" cm="1">
        <f t="array" ref="F119">_xlfn.XLOOKUP($A119&amp;$B119,Лист2!$A:$A &amp; Лист2!$B:$B,Лист2!D:D)</f>
        <v>14009</v>
      </c>
      <c r="G119" s="7" cm="1">
        <f t="array" ref="G119">_xlfn.XLOOKUP($A119&amp;$B119,Лист2!$A:$A &amp; Лист2!$B:$B,Лист2!E:E)</f>
        <v>12920</v>
      </c>
      <c r="H119">
        <f t="shared" si="2"/>
        <v>188697.8</v>
      </c>
      <c r="I119">
        <f t="shared" si="3"/>
        <v>18</v>
      </c>
    </row>
    <row r="120" spans="1:9" ht="14.25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 s="7" cm="1">
        <f t="array" ref="E120">_xlfn.XLOOKUP($A120&amp;$B120,Лист2!$A:$A &amp; Лист2!$B:$B,Лист2!C:C)</f>
        <v>129</v>
      </c>
      <c r="F120" s="7" cm="1">
        <f t="array" ref="F120">_xlfn.XLOOKUP($A120&amp;$B120,Лист2!$A:$A &amp; Лист2!$B:$B,Лист2!D:D)</f>
        <v>16459</v>
      </c>
      <c r="G120" s="7" cm="1">
        <f t="array" ref="G120">_xlfn.XLOOKUP($A120&amp;$B120,Лист2!$A:$A &amp; Лист2!$B:$B,Лист2!E:E)</f>
        <v>15355</v>
      </c>
      <c r="H120">
        <f t="shared" si="2"/>
        <v>216066.81</v>
      </c>
      <c r="I120">
        <f t="shared" si="3"/>
        <v>22</v>
      </c>
    </row>
    <row r="121" spans="1:9" ht="14.25" customHeight="1" x14ac:dyDescent="0.25">
      <c r="A121" s="8">
        <v>43952</v>
      </c>
      <c r="B121" s="9" t="s">
        <v>14</v>
      </c>
      <c r="C121" s="9">
        <v>296149.5</v>
      </c>
      <c r="D121" s="9">
        <v>31053316.5</v>
      </c>
      <c r="E121" s="7" cm="1">
        <f t="array" ref="E121">_xlfn.XLOOKUP($A121&amp;$B121,Лист2!$A:$A &amp; Лист2!$B:$B,Лист2!C:C)</f>
        <v>129</v>
      </c>
      <c r="F121" s="7" cm="1">
        <f t="array" ref="F121">_xlfn.XLOOKUP($A121&amp;$B121,Лист2!$A:$A &amp; Лист2!$B:$B,Лист2!D:D)</f>
        <v>17002</v>
      </c>
      <c r="G121" s="7" cm="1">
        <f t="array" ref="G121">_xlfn.XLOOKUP($A121&amp;$B121,Лист2!$A:$A &amp; Лист2!$B:$B,Лист2!E:E)</f>
        <v>15570</v>
      </c>
      <c r="H121">
        <f t="shared" si="2"/>
        <v>240723.38</v>
      </c>
      <c r="I121">
        <f t="shared" si="3"/>
        <v>18</v>
      </c>
    </row>
    <row r="122" spans="1:9" ht="14.25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 s="7" cm="1">
        <f t="array" ref="E122">_xlfn.XLOOKUP($A122&amp;$B122,Лист2!$A:$A &amp; Лист2!$B:$B,Лист2!C:C)</f>
        <v>129</v>
      </c>
      <c r="F122" s="7" cm="1">
        <f t="array" ref="F122">_xlfn.XLOOKUP($A122&amp;$B122,Лист2!$A:$A &amp; Лист2!$B:$B,Лист2!D:D)</f>
        <v>16387</v>
      </c>
      <c r="G122" s="7" cm="1">
        <f t="array" ref="G122">_xlfn.XLOOKUP($A122&amp;$B122,Лист2!$A:$A &amp; Лист2!$B:$B,Лист2!E:E)</f>
        <v>15322</v>
      </c>
      <c r="H122">
        <f t="shared" si="2"/>
        <v>225135.81</v>
      </c>
      <c r="I122">
        <f t="shared" si="3"/>
        <v>20</v>
      </c>
    </row>
    <row r="123" spans="1:9" ht="14.25" customHeight="1" x14ac:dyDescent="0.25">
      <c r="A123" s="8">
        <v>43972</v>
      </c>
      <c r="B123" s="9" t="s">
        <v>14</v>
      </c>
      <c r="C123" s="9">
        <v>288936</v>
      </c>
      <c r="D123" s="9">
        <v>27852900</v>
      </c>
      <c r="E123" s="7" cm="1">
        <f t="array" ref="E123">_xlfn.XLOOKUP($A123&amp;$B123,Лист2!$A:$A &amp; Лист2!$B:$B,Лист2!C:C)</f>
        <v>129</v>
      </c>
      <c r="F123" s="7" cm="1">
        <f t="array" ref="F123">_xlfn.XLOOKUP($A123&amp;$B123,Лист2!$A:$A &amp; Лист2!$B:$B,Лист2!D:D)</f>
        <v>16373</v>
      </c>
      <c r="G123" s="7" cm="1">
        <f t="array" ref="G123">_xlfn.XLOOKUP($A123&amp;$B123,Лист2!$A:$A &amp; Лист2!$B:$B,Лист2!E:E)</f>
        <v>15223</v>
      </c>
      <c r="H123">
        <f t="shared" si="2"/>
        <v>215913.95</v>
      </c>
      <c r="I123">
        <f t="shared" si="3"/>
        <v>21</v>
      </c>
    </row>
    <row r="124" spans="1:9" ht="14.25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 s="7" cm="1">
        <f t="array" ref="E124">_xlfn.XLOOKUP($A124&amp;$B124,Лист2!$A:$A &amp; Лист2!$B:$B,Лист2!C:C)</f>
        <v>129</v>
      </c>
      <c r="F124" s="7" cm="1">
        <f t="array" ref="F124">_xlfn.XLOOKUP($A124&amp;$B124,Лист2!$A:$A &amp; Лист2!$B:$B,Лист2!D:D)</f>
        <v>17095</v>
      </c>
      <c r="G124" s="7" cm="1">
        <f t="array" ref="G124">_xlfn.XLOOKUP($A124&amp;$B124,Лист2!$A:$A &amp; Лист2!$B:$B,Лист2!E:E)</f>
        <v>15919</v>
      </c>
      <c r="H124">
        <f t="shared" si="2"/>
        <v>227664.9</v>
      </c>
      <c r="I124">
        <f t="shared" si="3"/>
        <v>21</v>
      </c>
    </row>
    <row r="125" spans="1:9" ht="14.25" customHeight="1" x14ac:dyDescent="0.25">
      <c r="A125" s="8">
        <v>43956</v>
      </c>
      <c r="B125" s="9" t="s">
        <v>14</v>
      </c>
      <c r="C125" s="9">
        <v>262734</v>
      </c>
      <c r="D125" s="9">
        <v>27278441.145</v>
      </c>
      <c r="E125" s="7" cm="1">
        <f t="array" ref="E125">_xlfn.XLOOKUP($A125&amp;$B125,Лист2!$A:$A &amp; Лист2!$B:$B,Лист2!C:C)</f>
        <v>129</v>
      </c>
      <c r="F125" s="7" cm="1">
        <f t="array" ref="F125">_xlfn.XLOOKUP($A125&amp;$B125,Лист2!$A:$A &amp; Лист2!$B:$B,Лист2!D:D)</f>
        <v>15665</v>
      </c>
      <c r="G125" s="7" cm="1">
        <f t="array" ref="G125">_xlfn.XLOOKUP($A125&amp;$B125,Лист2!$A:$A &amp; Лист2!$B:$B,Лист2!E:E)</f>
        <v>14501</v>
      </c>
      <c r="H125">
        <f t="shared" si="2"/>
        <v>211460.78</v>
      </c>
      <c r="I125">
        <f t="shared" si="3"/>
        <v>19</v>
      </c>
    </row>
    <row r="126" spans="1:9" ht="14.25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 s="7" cm="1">
        <f t="array" ref="E126">_xlfn.XLOOKUP($A126&amp;$B126,Лист2!$A:$A &amp; Лист2!$B:$B,Лист2!C:C)</f>
        <v>128</v>
      </c>
      <c r="F126" s="7" cm="1">
        <f t="array" ref="F126">_xlfn.XLOOKUP($A126&amp;$B126,Лист2!$A:$A &amp; Лист2!$B:$B,Лист2!D:D)</f>
        <v>16450</v>
      </c>
      <c r="G126" s="7" cm="1">
        <f t="array" ref="G126">_xlfn.XLOOKUP($A126&amp;$B126,Лист2!$A:$A &amp; Лист2!$B:$B,Лист2!E:E)</f>
        <v>15320</v>
      </c>
      <c r="H126">
        <f t="shared" si="2"/>
        <v>227804.94</v>
      </c>
      <c r="I126">
        <f t="shared" si="3"/>
        <v>18</v>
      </c>
    </row>
    <row r="127" spans="1:9" ht="14.25" customHeight="1" x14ac:dyDescent="0.25">
      <c r="A127" s="8">
        <v>43964</v>
      </c>
      <c r="B127" s="9" t="s">
        <v>14</v>
      </c>
      <c r="C127" s="9">
        <v>258459</v>
      </c>
      <c r="D127" s="9">
        <v>26467453.5</v>
      </c>
      <c r="E127" s="7" cm="1">
        <f t="array" ref="E127">_xlfn.XLOOKUP($A127&amp;$B127,Лист2!$A:$A &amp; Лист2!$B:$B,Лист2!C:C)</f>
        <v>129</v>
      </c>
      <c r="F127" s="7" cm="1">
        <f t="array" ref="F127">_xlfn.XLOOKUP($A127&amp;$B127,Лист2!$A:$A &amp; Лист2!$B:$B,Лист2!D:D)</f>
        <v>15304</v>
      </c>
      <c r="G127" s="7" cm="1">
        <f t="array" ref="G127">_xlfn.XLOOKUP($A127&amp;$B127,Лист2!$A:$A &amp; Лист2!$B:$B,Лист2!E:E)</f>
        <v>14315</v>
      </c>
      <c r="H127">
        <f t="shared" si="2"/>
        <v>205174.06</v>
      </c>
      <c r="I127">
        <f t="shared" si="3"/>
        <v>20</v>
      </c>
    </row>
    <row r="128" spans="1:9" ht="14.25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 s="7" cm="1">
        <f t="array" ref="E128">_xlfn.XLOOKUP($A128&amp;$B128,Лист2!$A:$A &amp; Лист2!$B:$B,Лист2!C:C)</f>
        <v>129</v>
      </c>
      <c r="F128" s="7" cm="1">
        <f t="array" ref="F128">_xlfn.XLOOKUP($A128&amp;$B128,Лист2!$A:$A &amp; Лист2!$B:$B,Лист2!D:D)</f>
        <v>15778</v>
      </c>
      <c r="G128" s="7" cm="1">
        <f t="array" ref="G128">_xlfn.XLOOKUP($A128&amp;$B128,Лист2!$A:$A &amp; Лист2!$B:$B,Лист2!E:E)</f>
        <v>14624</v>
      </c>
      <c r="H128">
        <f t="shared" si="2"/>
        <v>220364.35</v>
      </c>
      <c r="I128">
        <f t="shared" si="3"/>
        <v>18</v>
      </c>
    </row>
    <row r="129" spans="1:9" ht="14.25" customHeight="1" x14ac:dyDescent="0.25">
      <c r="A129" s="8">
        <v>43957</v>
      </c>
      <c r="B129" s="9" t="s">
        <v>14</v>
      </c>
      <c r="C129" s="9">
        <v>277512</v>
      </c>
      <c r="D129" s="9">
        <v>28770810.105599999</v>
      </c>
      <c r="E129" s="7" cm="1">
        <f t="array" ref="E129">_xlfn.XLOOKUP($A129&amp;$B129,Лист2!$A:$A &amp; Лист2!$B:$B,Лист2!C:C)</f>
        <v>129</v>
      </c>
      <c r="F129" s="7" cm="1">
        <f t="array" ref="F129">_xlfn.XLOOKUP($A129&amp;$B129,Лист2!$A:$A &amp; Лист2!$B:$B,Лист2!D:D)</f>
        <v>16376</v>
      </c>
      <c r="G129" s="7" cm="1">
        <f t="array" ref="G129">_xlfn.XLOOKUP($A129&amp;$B129,Лист2!$A:$A &amp; Лист2!$B:$B,Лист2!E:E)</f>
        <v>15197</v>
      </c>
      <c r="H129">
        <f t="shared" si="2"/>
        <v>223029.54</v>
      </c>
      <c r="I129">
        <f t="shared" si="3"/>
        <v>19</v>
      </c>
    </row>
    <row r="130" spans="1:9" ht="14.25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 s="7" cm="1">
        <f t="array" ref="E130">_xlfn.XLOOKUP($A130&amp;$B130,Лист2!$A:$A &amp; Лист2!$B:$B,Лист2!C:C)</f>
        <v>129</v>
      </c>
      <c r="F130" s="7" cm="1">
        <f t="array" ref="F130">_xlfn.XLOOKUP($A130&amp;$B130,Лист2!$A:$A &amp; Лист2!$B:$B,Лист2!D:D)</f>
        <v>19856</v>
      </c>
      <c r="G130" s="7" cm="1">
        <f t="array" ref="G130">_xlfn.XLOOKUP($A130&amp;$B130,Лист2!$A:$A &amp; Лист2!$B:$B,Лист2!E:E)</f>
        <v>18325</v>
      </c>
      <c r="H130">
        <f t="shared" si="2"/>
        <v>272123.46000000002</v>
      </c>
      <c r="I130">
        <f t="shared" si="3"/>
        <v>21</v>
      </c>
    </row>
    <row r="131" spans="1:9" ht="14.25" customHeight="1" x14ac:dyDescent="0.25">
      <c r="A131" s="8">
        <v>43976</v>
      </c>
      <c r="B131" s="9" t="s">
        <v>14</v>
      </c>
      <c r="C131" s="9">
        <v>266983.5</v>
      </c>
      <c r="D131" s="9">
        <v>27165913.5</v>
      </c>
      <c r="E131" s="7" cm="1">
        <f t="array" ref="E131">_xlfn.XLOOKUP($A131&amp;$B131,Лист2!$A:$A &amp; Лист2!$B:$B,Лист2!C:C)</f>
        <v>129</v>
      </c>
      <c r="F131" s="7" cm="1">
        <f t="array" ref="F131">_xlfn.XLOOKUP($A131&amp;$B131,Лист2!$A:$A &amp; Лист2!$B:$B,Лист2!D:D)</f>
        <v>15822</v>
      </c>
      <c r="G131" s="7" cm="1">
        <f t="array" ref="G131">_xlfn.XLOOKUP($A131&amp;$B131,Лист2!$A:$A &amp; Лист2!$B:$B,Лист2!E:E)</f>
        <v>14753</v>
      </c>
      <c r="H131">
        <f t="shared" ref="H131:H194" si="4">ROUND(D131/E131,2)</f>
        <v>210588.48</v>
      </c>
      <c r="I131">
        <f t="shared" ref="I131:I194" si="5">WEEKNUM(A131,2)</f>
        <v>22</v>
      </c>
    </row>
    <row r="132" spans="1:9" ht="14.25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 s="7" cm="1">
        <f t="array" ref="E132">_xlfn.XLOOKUP($A132&amp;$B132,Лист2!$A:$A &amp; Лист2!$B:$B,Лист2!C:C)</f>
        <v>129</v>
      </c>
      <c r="F132" s="7" cm="1">
        <f t="array" ref="F132">_xlfn.XLOOKUP($A132&amp;$B132,Лист2!$A:$A &amp; Лист2!$B:$B,Лист2!D:D)</f>
        <v>18042</v>
      </c>
      <c r="G132" s="7" cm="1">
        <f t="array" ref="G132">_xlfn.XLOOKUP($A132&amp;$B132,Лист2!$A:$A &amp; Лист2!$B:$B,Лист2!E:E)</f>
        <v>16631</v>
      </c>
      <c r="H132">
        <f t="shared" si="4"/>
        <v>251309.14</v>
      </c>
      <c r="I132">
        <f t="shared" si="5"/>
        <v>18</v>
      </c>
    </row>
    <row r="133" spans="1:9" ht="14.25" customHeight="1" x14ac:dyDescent="0.25">
      <c r="A133" s="8">
        <v>43961</v>
      </c>
      <c r="B133" s="9" t="s">
        <v>14</v>
      </c>
      <c r="C133" s="9">
        <v>287206.5</v>
      </c>
      <c r="D133" s="9">
        <v>29536176.10605</v>
      </c>
      <c r="E133" s="7" cm="1">
        <f t="array" ref="E133">_xlfn.XLOOKUP($A133&amp;$B133,Лист2!$A:$A &amp; Лист2!$B:$B,Лист2!C:C)</f>
        <v>129</v>
      </c>
      <c r="F133" s="7" cm="1">
        <f t="array" ref="F133">_xlfn.XLOOKUP($A133&amp;$B133,Лист2!$A:$A &amp; Лист2!$B:$B,Лист2!D:D)</f>
        <v>16437</v>
      </c>
      <c r="G133" s="7" cm="1">
        <f t="array" ref="G133">_xlfn.XLOOKUP($A133&amp;$B133,Лист2!$A:$A &amp; Лист2!$B:$B,Лист2!E:E)</f>
        <v>15285</v>
      </c>
      <c r="H133">
        <f t="shared" si="4"/>
        <v>228962.61</v>
      </c>
      <c r="I133">
        <f t="shared" si="5"/>
        <v>19</v>
      </c>
    </row>
    <row r="134" spans="1:9" ht="14.25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 s="7" cm="1">
        <f t="array" ref="E134">_xlfn.XLOOKUP($A134&amp;$B134,Лист2!$A:$A &amp; Лист2!$B:$B,Лист2!C:C)</f>
        <v>129</v>
      </c>
      <c r="F134" s="7" cm="1">
        <f t="array" ref="F134">_xlfn.XLOOKUP($A134&amp;$B134,Лист2!$A:$A &amp; Лист2!$B:$B,Лист2!D:D)</f>
        <v>20452</v>
      </c>
      <c r="G134" s="7" cm="1">
        <f t="array" ref="G134">_xlfn.XLOOKUP($A134&amp;$B134,Лист2!$A:$A &amp; Лист2!$B:$B,Лист2!E:E)</f>
        <v>18857</v>
      </c>
      <c r="H134">
        <f t="shared" si="4"/>
        <v>295283.38</v>
      </c>
      <c r="I134">
        <f t="shared" si="5"/>
        <v>19</v>
      </c>
    </row>
    <row r="135" spans="1:9" ht="14.25" customHeight="1" x14ac:dyDescent="0.25">
      <c r="A135" s="8">
        <v>43958</v>
      </c>
      <c r="B135" s="9" t="s">
        <v>14</v>
      </c>
      <c r="C135" s="9">
        <v>247813.5</v>
      </c>
      <c r="D135" s="9">
        <v>25325271</v>
      </c>
      <c r="E135" s="7" cm="1">
        <f t="array" ref="E135">_xlfn.XLOOKUP($A135&amp;$B135,Лист2!$A:$A &amp; Лист2!$B:$B,Лист2!C:C)</f>
        <v>129</v>
      </c>
      <c r="F135" s="7" cm="1">
        <f t="array" ref="F135">_xlfn.XLOOKUP($A135&amp;$B135,Лист2!$A:$A &amp; Лист2!$B:$B,Лист2!D:D)</f>
        <v>14582</v>
      </c>
      <c r="G135" s="7" cm="1">
        <f t="array" ref="G135">_xlfn.XLOOKUP($A135&amp;$B135,Лист2!$A:$A &amp; Лист2!$B:$B,Лист2!E:E)</f>
        <v>13512</v>
      </c>
      <c r="H135">
        <f t="shared" si="4"/>
        <v>196319.93</v>
      </c>
      <c r="I135">
        <f t="shared" si="5"/>
        <v>19</v>
      </c>
    </row>
    <row r="136" spans="1:9" ht="14.25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 s="7" cm="1">
        <f t="array" ref="E136">_xlfn.XLOOKUP($A136&amp;$B136,Лист2!$A:$A &amp; Лист2!$B:$B,Лист2!C:C)</f>
        <v>129</v>
      </c>
      <c r="F136" s="7" cm="1">
        <f t="array" ref="F136">_xlfn.XLOOKUP($A136&amp;$B136,Лист2!$A:$A &amp; Лист2!$B:$B,Лист2!D:D)</f>
        <v>16432</v>
      </c>
      <c r="G136" s="7" cm="1">
        <f t="array" ref="G136">_xlfn.XLOOKUP($A136&amp;$B136,Лист2!$A:$A &amp; Лист2!$B:$B,Лист2!E:E)</f>
        <v>15345</v>
      </c>
      <c r="H136">
        <f t="shared" si="4"/>
        <v>218515.77</v>
      </c>
      <c r="I136">
        <f t="shared" si="5"/>
        <v>21</v>
      </c>
    </row>
    <row r="137" spans="1:9" ht="14.25" customHeight="1" x14ac:dyDescent="0.25">
      <c r="A137" s="8">
        <v>43967</v>
      </c>
      <c r="B137" s="9" t="s">
        <v>15</v>
      </c>
      <c r="C137" s="9">
        <v>408810</v>
      </c>
      <c r="D137" s="9">
        <v>42323631</v>
      </c>
      <c r="E137" s="7" cm="1">
        <f t="array" ref="E137">_xlfn.XLOOKUP($A137&amp;$B137,Лист2!$A:$A &amp; Лист2!$B:$B,Лист2!C:C)</f>
        <v>125</v>
      </c>
      <c r="F137" s="7" cm="1">
        <f t="array" ref="F137">_xlfn.XLOOKUP($A137&amp;$B137,Лист2!$A:$A &amp; Лист2!$B:$B,Лист2!D:D)</f>
        <v>22291</v>
      </c>
      <c r="G137" s="7" cm="1">
        <f t="array" ref="G137">_xlfn.XLOOKUP($A137&amp;$B137,Лист2!$A:$A &amp; Лист2!$B:$B,Лист2!E:E)</f>
        <v>20635</v>
      </c>
      <c r="H137">
        <f t="shared" si="4"/>
        <v>338589.05</v>
      </c>
      <c r="I137">
        <f t="shared" si="5"/>
        <v>20</v>
      </c>
    </row>
    <row r="138" spans="1:9" ht="14.25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 s="7" cm="1">
        <f t="array" ref="E138">_xlfn.XLOOKUP($A138&amp;$B138,Лист2!$A:$A &amp; Лист2!$B:$B,Лист2!C:C)</f>
        <v>125</v>
      </c>
      <c r="F138" s="7" cm="1">
        <f t="array" ref="F138">_xlfn.XLOOKUP($A138&amp;$B138,Лист2!$A:$A &amp; Лист2!$B:$B,Лист2!D:D)</f>
        <v>20771</v>
      </c>
      <c r="G138" s="7" cm="1">
        <f t="array" ref="G138">_xlfn.XLOOKUP($A138&amp;$B138,Лист2!$A:$A &amp; Лист2!$B:$B,Лист2!E:E)</f>
        <v>19338</v>
      </c>
      <c r="H138">
        <f t="shared" si="4"/>
        <v>296185.94</v>
      </c>
      <c r="I138">
        <f t="shared" si="5"/>
        <v>21</v>
      </c>
    </row>
    <row r="139" spans="1:9" ht="14.25" customHeight="1" x14ac:dyDescent="0.25">
      <c r="A139" s="8">
        <v>43968</v>
      </c>
      <c r="B139" s="9" t="s">
        <v>15</v>
      </c>
      <c r="C139" s="9">
        <v>357072</v>
      </c>
      <c r="D139" s="9">
        <v>36834567</v>
      </c>
      <c r="E139" s="7" cm="1">
        <f t="array" ref="E139">_xlfn.XLOOKUP($A139&amp;$B139,Лист2!$A:$A &amp; Лист2!$B:$B,Лист2!C:C)</f>
        <v>125</v>
      </c>
      <c r="F139" s="7" cm="1">
        <f t="array" ref="F139">_xlfn.XLOOKUP($A139&amp;$B139,Лист2!$A:$A &amp; Лист2!$B:$B,Лист2!D:D)</f>
        <v>20079</v>
      </c>
      <c r="G139" s="7" cm="1">
        <f t="array" ref="G139">_xlfn.XLOOKUP($A139&amp;$B139,Лист2!$A:$A &amp; Лист2!$B:$B,Лист2!E:E)</f>
        <v>18721</v>
      </c>
      <c r="H139">
        <f t="shared" si="4"/>
        <v>294676.53999999998</v>
      </c>
      <c r="I139">
        <f t="shared" si="5"/>
        <v>20</v>
      </c>
    </row>
    <row r="140" spans="1:9" ht="14.25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 s="7" cm="1">
        <f t="array" ref="E140">_xlfn.XLOOKUP($A140&amp;$B140,Лист2!$A:$A &amp; Лист2!$B:$B,Лист2!C:C)</f>
        <v>125</v>
      </c>
      <c r="F140" s="7" cm="1">
        <f t="array" ref="F140">_xlfn.XLOOKUP($A140&amp;$B140,Лист2!$A:$A &amp; Лист2!$B:$B,Лист2!D:D)</f>
        <v>20132</v>
      </c>
      <c r="G140" s="7" cm="1">
        <f t="array" ref="G140">_xlfn.XLOOKUP($A140&amp;$B140,Лист2!$A:$A &amp; Лист2!$B:$B,Лист2!E:E)</f>
        <v>18617</v>
      </c>
      <c r="H140">
        <f t="shared" si="4"/>
        <v>309547.42</v>
      </c>
      <c r="I140">
        <f t="shared" si="5"/>
        <v>19</v>
      </c>
    </row>
    <row r="141" spans="1:9" ht="14.25" customHeight="1" x14ac:dyDescent="0.25">
      <c r="A141" s="8">
        <v>43955</v>
      </c>
      <c r="B141" s="9" t="s">
        <v>15</v>
      </c>
      <c r="C141" s="9">
        <v>360255</v>
      </c>
      <c r="D141" s="9">
        <v>38406954</v>
      </c>
      <c r="E141" s="7" cm="1">
        <f t="array" ref="E141">_xlfn.XLOOKUP($A141&amp;$B141,Лист2!$A:$A &amp; Лист2!$B:$B,Лист2!C:C)</f>
        <v>125</v>
      </c>
      <c r="F141" s="7" cm="1">
        <f t="array" ref="F141">_xlfn.XLOOKUP($A141&amp;$B141,Лист2!$A:$A &amp; Лист2!$B:$B,Лист2!D:D)</f>
        <v>20495</v>
      </c>
      <c r="G141" s="7" cm="1">
        <f t="array" ref="G141">_xlfn.XLOOKUP($A141&amp;$B141,Лист2!$A:$A &amp; Лист2!$B:$B,Лист2!E:E)</f>
        <v>18964</v>
      </c>
      <c r="H141">
        <f t="shared" si="4"/>
        <v>307255.63</v>
      </c>
      <c r="I141">
        <f t="shared" si="5"/>
        <v>19</v>
      </c>
    </row>
    <row r="142" spans="1:9" ht="14.25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 s="7" cm="1">
        <f t="array" ref="E142">_xlfn.XLOOKUP($A142&amp;$B142,Лист2!$A:$A &amp; Лист2!$B:$B,Лист2!C:C)</f>
        <v>125</v>
      </c>
      <c r="F142" s="7" cm="1">
        <f t="array" ref="F142">_xlfn.XLOOKUP($A142&amp;$B142,Лист2!$A:$A &amp; Лист2!$B:$B,Лист2!D:D)</f>
        <v>21863</v>
      </c>
      <c r="G142" s="7" cm="1">
        <f t="array" ref="G142">_xlfn.XLOOKUP($A142&amp;$B142,Лист2!$A:$A &amp; Лист2!$B:$B,Лист2!E:E)</f>
        <v>20160</v>
      </c>
      <c r="H142">
        <f t="shared" si="4"/>
        <v>332475.07</v>
      </c>
      <c r="I142">
        <f t="shared" si="5"/>
        <v>18</v>
      </c>
    </row>
    <row r="143" spans="1:9" ht="14.25" customHeight="1" x14ac:dyDescent="0.25">
      <c r="A143" s="8">
        <v>43953</v>
      </c>
      <c r="B143" s="9" t="s">
        <v>15</v>
      </c>
      <c r="C143" s="9">
        <v>296580</v>
      </c>
      <c r="D143" s="9">
        <v>31843737</v>
      </c>
      <c r="E143" s="7" cm="1">
        <f t="array" ref="E143">_xlfn.XLOOKUP($A143&amp;$B143,Лист2!$A:$A &amp; Лист2!$B:$B,Лист2!C:C)</f>
        <v>125</v>
      </c>
      <c r="F143" s="7" cm="1">
        <f t="array" ref="F143">_xlfn.XLOOKUP($A143&amp;$B143,Лист2!$A:$A &amp; Лист2!$B:$B,Лист2!D:D)</f>
        <v>16932</v>
      </c>
      <c r="G143" s="7" cm="1">
        <f t="array" ref="G143">_xlfn.XLOOKUP($A143&amp;$B143,Лист2!$A:$A &amp; Лист2!$B:$B,Лист2!E:E)</f>
        <v>15601</v>
      </c>
      <c r="H143">
        <f t="shared" si="4"/>
        <v>254749.9</v>
      </c>
      <c r="I143">
        <f t="shared" si="5"/>
        <v>18</v>
      </c>
    </row>
    <row r="144" spans="1:9" ht="14.25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 s="7" cm="1">
        <f t="array" ref="E144">_xlfn.XLOOKUP($A144&amp;$B144,Лист2!$A:$A &amp; Лист2!$B:$B,Лист2!C:C)</f>
        <v>124</v>
      </c>
      <c r="F144" s="7" cm="1">
        <f t="array" ref="F144">_xlfn.XLOOKUP($A144&amp;$B144,Лист2!$A:$A &amp; Лист2!$B:$B,Лист2!D:D)</f>
        <v>21153</v>
      </c>
      <c r="G144" s="7" cm="1">
        <f t="array" ref="G144">_xlfn.XLOOKUP($A144&amp;$B144,Лист2!$A:$A &amp; Лист2!$B:$B,Лист2!E:E)</f>
        <v>19673</v>
      </c>
      <c r="H144">
        <f t="shared" si="4"/>
        <v>309402.90999999997</v>
      </c>
      <c r="I144">
        <f t="shared" si="5"/>
        <v>22</v>
      </c>
    </row>
    <row r="145" spans="1:9" ht="14.25" customHeight="1" x14ac:dyDescent="0.25">
      <c r="A145" s="8">
        <v>43952</v>
      </c>
      <c r="B145" s="9" t="s">
        <v>15</v>
      </c>
      <c r="C145" s="9">
        <v>372504</v>
      </c>
      <c r="D145" s="9">
        <v>40077193.5</v>
      </c>
      <c r="E145" s="7" cm="1">
        <f t="array" ref="E145">_xlfn.XLOOKUP($A145&amp;$B145,Лист2!$A:$A &amp; Лист2!$B:$B,Лист2!C:C)</f>
        <v>125</v>
      </c>
      <c r="F145" s="7" cm="1">
        <f t="array" ref="F145">_xlfn.XLOOKUP($A145&amp;$B145,Лист2!$A:$A &amp; Лист2!$B:$B,Лист2!D:D)</f>
        <v>20602</v>
      </c>
      <c r="G145" s="7" cm="1">
        <f t="array" ref="G145">_xlfn.XLOOKUP($A145&amp;$B145,Лист2!$A:$A &amp; Лист2!$B:$B,Лист2!E:E)</f>
        <v>18845</v>
      </c>
      <c r="H145">
        <f t="shared" si="4"/>
        <v>320617.55</v>
      </c>
      <c r="I145">
        <f t="shared" si="5"/>
        <v>18</v>
      </c>
    </row>
    <row r="146" spans="1:9" ht="14.25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 s="7" cm="1">
        <f t="array" ref="E146">_xlfn.XLOOKUP($A146&amp;$B146,Лист2!$A:$A &amp; Лист2!$B:$B,Лист2!C:C)</f>
        <v>125</v>
      </c>
      <c r="F146" s="7" cm="1">
        <f t="array" ref="F146">_xlfn.XLOOKUP($A146&amp;$B146,Лист2!$A:$A &amp; Лист2!$B:$B,Лист2!D:D)</f>
        <v>21106</v>
      </c>
      <c r="G146" s="7" cm="1">
        <f t="array" ref="G146">_xlfn.XLOOKUP($A146&amp;$B146,Лист2!$A:$A &amp; Лист2!$B:$B,Лист2!E:E)</f>
        <v>19651</v>
      </c>
      <c r="H146">
        <f t="shared" si="4"/>
        <v>316628.62</v>
      </c>
      <c r="I146">
        <f t="shared" si="5"/>
        <v>20</v>
      </c>
    </row>
    <row r="147" spans="1:9" ht="14.25" customHeight="1" x14ac:dyDescent="0.25">
      <c r="A147" s="8">
        <v>43972</v>
      </c>
      <c r="B147" s="9" t="s">
        <v>15</v>
      </c>
      <c r="C147" s="9">
        <v>378043.5</v>
      </c>
      <c r="D147" s="9">
        <v>37902156.57</v>
      </c>
      <c r="E147" s="7" cm="1">
        <f t="array" ref="E147">_xlfn.XLOOKUP($A147&amp;$B147,Лист2!$A:$A &amp; Лист2!$B:$B,Лист2!C:C)</f>
        <v>125</v>
      </c>
      <c r="F147" s="7" cm="1">
        <f t="array" ref="F147">_xlfn.XLOOKUP($A147&amp;$B147,Лист2!$A:$A &amp; Лист2!$B:$B,Лист2!D:D)</f>
        <v>20911</v>
      </c>
      <c r="G147" s="7" cm="1">
        <f t="array" ref="G147">_xlfn.XLOOKUP($A147&amp;$B147,Лист2!$A:$A &amp; Лист2!$B:$B,Лист2!E:E)</f>
        <v>19358</v>
      </c>
      <c r="H147">
        <f t="shared" si="4"/>
        <v>303217.25</v>
      </c>
      <c r="I147">
        <f t="shared" si="5"/>
        <v>21</v>
      </c>
    </row>
    <row r="148" spans="1:9" ht="14.25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 s="7" cm="1">
        <f t="array" ref="E148">_xlfn.XLOOKUP($A148&amp;$B148,Лист2!$A:$A &amp; Лист2!$B:$B,Лист2!C:C)</f>
        <v>125</v>
      </c>
      <c r="F148" s="7" cm="1">
        <f t="array" ref="F148">_xlfn.XLOOKUP($A148&amp;$B148,Лист2!$A:$A &amp; Лист2!$B:$B,Лист2!D:D)</f>
        <v>21674</v>
      </c>
      <c r="G148" s="7" cm="1">
        <f t="array" ref="G148">_xlfn.XLOOKUP($A148&amp;$B148,Лист2!$A:$A &amp; Лист2!$B:$B,Лист2!E:E)</f>
        <v>20155</v>
      </c>
      <c r="H148">
        <f t="shared" si="4"/>
        <v>317114.46999999997</v>
      </c>
      <c r="I148">
        <f t="shared" si="5"/>
        <v>21</v>
      </c>
    </row>
    <row r="149" spans="1:9" ht="14.25" customHeight="1" x14ac:dyDescent="0.25">
      <c r="A149" s="8">
        <v>43956</v>
      </c>
      <c r="B149" s="9" t="s">
        <v>15</v>
      </c>
      <c r="C149" s="9">
        <v>333792</v>
      </c>
      <c r="D149" s="9">
        <v>35671734</v>
      </c>
      <c r="E149" s="7" cm="1">
        <f t="array" ref="E149">_xlfn.XLOOKUP($A149&amp;$B149,Лист2!$A:$A &amp; Лист2!$B:$B,Лист2!C:C)</f>
        <v>125</v>
      </c>
      <c r="F149" s="7" cm="1">
        <f t="array" ref="F149">_xlfn.XLOOKUP($A149&amp;$B149,Лист2!$A:$A &amp; Лист2!$B:$B,Лист2!D:D)</f>
        <v>18944</v>
      </c>
      <c r="G149" s="7" cm="1">
        <f t="array" ref="G149">_xlfn.XLOOKUP($A149&amp;$B149,Лист2!$A:$A &amp; Лист2!$B:$B,Лист2!E:E)</f>
        <v>17541</v>
      </c>
      <c r="H149">
        <f t="shared" si="4"/>
        <v>285373.87</v>
      </c>
      <c r="I149">
        <f t="shared" si="5"/>
        <v>19</v>
      </c>
    </row>
    <row r="150" spans="1:9" ht="14.25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 s="7" cm="1">
        <f t="array" ref="E150">_xlfn.XLOOKUP($A150&amp;$B150,Лист2!$A:$A &amp; Лист2!$B:$B,Лист2!C:C)</f>
        <v>125</v>
      </c>
      <c r="F150" s="7" cm="1">
        <f t="array" ref="F150">_xlfn.XLOOKUP($A150&amp;$B150,Лист2!$A:$A &amp; Лист2!$B:$B,Лист2!D:D)</f>
        <v>20914</v>
      </c>
      <c r="G150" s="7" cm="1">
        <f t="array" ref="G150">_xlfn.XLOOKUP($A150&amp;$B150,Лист2!$A:$A &amp; Лист2!$B:$B,Лист2!E:E)</f>
        <v>19479</v>
      </c>
      <c r="H150">
        <f t="shared" si="4"/>
        <v>319344.23</v>
      </c>
      <c r="I150">
        <f t="shared" si="5"/>
        <v>18</v>
      </c>
    </row>
    <row r="151" spans="1:9" ht="14.25" customHeight="1" x14ac:dyDescent="0.25">
      <c r="A151" s="8">
        <v>43964</v>
      </c>
      <c r="B151" s="9" t="s">
        <v>15</v>
      </c>
      <c r="C151" s="9">
        <v>350068.5</v>
      </c>
      <c r="D151" s="9">
        <v>37197115.5</v>
      </c>
      <c r="E151" s="7" cm="1">
        <f t="array" ref="E151">_xlfn.XLOOKUP($A151&amp;$B151,Лист2!$A:$A &amp; Лист2!$B:$B,Лист2!C:C)</f>
        <v>125</v>
      </c>
      <c r="F151" s="7" cm="1">
        <f t="array" ref="F151">_xlfn.XLOOKUP($A151&amp;$B151,Лист2!$A:$A &amp; Лист2!$B:$B,Лист2!D:D)</f>
        <v>19965</v>
      </c>
      <c r="G151" s="7" cm="1">
        <f t="array" ref="G151">_xlfn.XLOOKUP($A151&amp;$B151,Лист2!$A:$A &amp; Лист2!$B:$B,Лист2!E:E)</f>
        <v>18573</v>
      </c>
      <c r="H151">
        <f t="shared" si="4"/>
        <v>297576.92</v>
      </c>
      <c r="I151">
        <f t="shared" si="5"/>
        <v>20</v>
      </c>
    </row>
    <row r="152" spans="1:9" ht="14.25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 s="7" cm="1">
        <f t="array" ref="E152">_xlfn.XLOOKUP($A152&amp;$B152,Лист2!$A:$A &amp; Лист2!$B:$B,Лист2!C:C)</f>
        <v>129</v>
      </c>
      <c r="F152" s="7" cm="1">
        <f t="array" ref="F152">_xlfn.XLOOKUP($A152&amp;$B152,Лист2!$A:$A &amp; Лист2!$B:$B,Лист2!D:D)</f>
        <v>17235</v>
      </c>
      <c r="G152" s="7" cm="1">
        <f t="array" ref="G152">_xlfn.XLOOKUP($A152&amp;$B152,Лист2!$A:$A &amp; Лист2!$B:$B,Лист2!E:E)</f>
        <v>16052</v>
      </c>
      <c r="H152">
        <f t="shared" si="4"/>
        <v>227347.02</v>
      </c>
      <c r="I152">
        <f t="shared" si="5"/>
        <v>22</v>
      </c>
    </row>
    <row r="153" spans="1:9" ht="14.25" customHeight="1" x14ac:dyDescent="0.25">
      <c r="A153" s="8">
        <v>43954</v>
      </c>
      <c r="B153" s="9" t="s">
        <v>15</v>
      </c>
      <c r="C153" s="9">
        <v>342666</v>
      </c>
      <c r="D153" s="9">
        <v>36631999.5</v>
      </c>
      <c r="E153" s="7" cm="1">
        <f t="array" ref="E153">_xlfn.XLOOKUP($A153&amp;$B153,Лист2!$A:$A &amp; Лист2!$B:$B,Лист2!C:C)</f>
        <v>125</v>
      </c>
      <c r="F153" s="7" cm="1">
        <f t="array" ref="F153">_xlfn.XLOOKUP($A153&amp;$B153,Лист2!$A:$A &amp; Лист2!$B:$B,Лист2!D:D)</f>
        <v>18861</v>
      </c>
      <c r="G153" s="7" cm="1">
        <f t="array" ref="G153">_xlfn.XLOOKUP($A153&amp;$B153,Лист2!$A:$A &amp; Лист2!$B:$B,Лист2!E:E)</f>
        <v>17420</v>
      </c>
      <c r="H153">
        <f t="shared" si="4"/>
        <v>293056</v>
      </c>
      <c r="I153">
        <f t="shared" si="5"/>
        <v>18</v>
      </c>
    </row>
    <row r="154" spans="1:9" ht="14.25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 s="7" cm="1">
        <f t="array" ref="E154">_xlfn.XLOOKUP($A154&amp;$B154,Лист2!$A:$A &amp; Лист2!$B:$B,Лист2!C:C)</f>
        <v>129</v>
      </c>
      <c r="F154" s="7" cm="1">
        <f t="array" ref="F154">_xlfn.XLOOKUP($A154&amp;$B154,Лист2!$A:$A &amp; Лист2!$B:$B,Лист2!D:D)</f>
        <v>20243</v>
      </c>
      <c r="G154" s="7" cm="1">
        <f t="array" ref="G154">_xlfn.XLOOKUP($A154&amp;$B154,Лист2!$A:$A &amp; Лист2!$B:$B,Лист2!E:E)</f>
        <v>18711</v>
      </c>
      <c r="H154">
        <f t="shared" si="4"/>
        <v>276934.06</v>
      </c>
      <c r="I154">
        <f t="shared" si="5"/>
        <v>22</v>
      </c>
    </row>
    <row r="155" spans="1:9" ht="14.25" customHeight="1" x14ac:dyDescent="0.25">
      <c r="A155" s="8">
        <v>43957</v>
      </c>
      <c r="B155" s="9" t="s">
        <v>15</v>
      </c>
      <c r="C155" s="9">
        <v>355278</v>
      </c>
      <c r="D155" s="9">
        <v>38092344</v>
      </c>
      <c r="E155" s="7" cm="1">
        <f t="array" ref="E155">_xlfn.XLOOKUP($A155&amp;$B155,Лист2!$A:$A &amp; Лист2!$B:$B,Лист2!C:C)</f>
        <v>125</v>
      </c>
      <c r="F155" s="7" cm="1">
        <f t="array" ref="F155">_xlfn.XLOOKUP($A155&amp;$B155,Лист2!$A:$A &amp; Лист2!$B:$B,Лист2!D:D)</f>
        <v>20218</v>
      </c>
      <c r="G155" s="7" cm="1">
        <f t="array" ref="G155">_xlfn.XLOOKUP($A155&amp;$B155,Лист2!$A:$A &amp; Лист2!$B:$B,Лист2!E:E)</f>
        <v>18647</v>
      </c>
      <c r="H155">
        <f t="shared" si="4"/>
        <v>304738.75</v>
      </c>
      <c r="I155">
        <f t="shared" si="5"/>
        <v>19</v>
      </c>
    </row>
    <row r="156" spans="1:9" ht="14.25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 s="7" cm="1">
        <f t="array" ref="E156">_xlfn.XLOOKUP($A156&amp;$B156,Лист2!$A:$A &amp; Лист2!$B:$B,Лист2!C:C)</f>
        <v>125</v>
      </c>
      <c r="F156" s="7" cm="1">
        <f t="array" ref="F156">_xlfn.XLOOKUP($A156&amp;$B156,Лист2!$A:$A &amp; Лист2!$B:$B,Лист2!D:D)</f>
        <v>24574</v>
      </c>
      <c r="G156" s="7" cm="1">
        <f t="array" ref="G156">_xlfn.XLOOKUP($A156&amp;$B156,Лист2!$A:$A &amp; Лист2!$B:$B,Лист2!E:E)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25">
      <c r="A157" s="8">
        <v>43979</v>
      </c>
      <c r="B157" s="9" t="s">
        <v>14</v>
      </c>
      <c r="C157" s="9">
        <v>278491.5</v>
      </c>
      <c r="D157" s="9">
        <v>28151004.75</v>
      </c>
      <c r="E157" s="7" cm="1">
        <f t="array" ref="E157">_xlfn.XLOOKUP($A157&amp;$B157,Лист2!$A:$A &amp; Лист2!$B:$B,Лист2!C:C)</f>
        <v>129</v>
      </c>
      <c r="F157" s="7" cm="1">
        <f t="array" ref="F157">_xlfn.XLOOKUP($A157&amp;$B157,Лист2!$A:$A &amp; Лист2!$B:$B,Лист2!D:D)</f>
        <v>16453</v>
      </c>
      <c r="G157" s="7" cm="1">
        <f t="array" ref="G157">_xlfn.XLOOKUP($A157&amp;$B157,Лист2!$A:$A &amp; Лист2!$B:$B,Лист2!E:E)</f>
        <v>15289</v>
      </c>
      <c r="H157">
        <f t="shared" si="4"/>
        <v>218224.84</v>
      </c>
      <c r="I157">
        <f t="shared" si="5"/>
        <v>22</v>
      </c>
    </row>
    <row r="158" spans="1:9" ht="14.25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 s="7" cm="1">
        <f t="array" ref="E158">_xlfn.XLOOKUP($A158&amp;$B158,Лист2!$A:$A &amp; Лист2!$B:$B,Лист2!C:C)</f>
        <v>124</v>
      </c>
      <c r="F158" s="7" cm="1">
        <f t="array" ref="F158">_xlfn.XLOOKUP($A158&amp;$B158,Лист2!$A:$A &amp; Лист2!$B:$B,Лист2!D:D)</f>
        <v>20358</v>
      </c>
      <c r="G158" s="7" cm="1">
        <f t="array" ref="G158">_xlfn.XLOOKUP($A158&amp;$B158,Лист2!$A:$A &amp; Лист2!$B:$B,Лист2!E:E)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25">
      <c r="A159" s="8">
        <v>43951</v>
      </c>
      <c r="B159" s="9" t="s">
        <v>15</v>
      </c>
      <c r="C159" s="9">
        <v>401580</v>
      </c>
      <c r="D159" s="9">
        <v>43028734.5</v>
      </c>
      <c r="E159" s="7" cm="1">
        <f t="array" ref="E159">_xlfn.XLOOKUP($A159&amp;$B159,Лист2!$A:$A &amp; Лист2!$B:$B,Лист2!C:C)</f>
        <v>125</v>
      </c>
      <c r="F159" s="7" cm="1">
        <f t="array" ref="F159">_xlfn.XLOOKUP($A159&amp;$B159,Лист2!$A:$A &amp; Лист2!$B:$B,Лист2!D:D)</f>
        <v>22368</v>
      </c>
      <c r="G159" s="7" cm="1">
        <f t="array" ref="G159">_xlfn.XLOOKUP($A159&amp;$B159,Лист2!$A:$A &amp; Лист2!$B:$B,Лист2!E:E)</f>
        <v>20625</v>
      </c>
      <c r="H159">
        <f t="shared" si="4"/>
        <v>344229.88</v>
      </c>
      <c r="I159">
        <f t="shared" si="5"/>
        <v>18</v>
      </c>
    </row>
    <row r="160" spans="1:9" ht="14.25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 s="7" cm="1">
        <f t="array" ref="E160">_xlfn.XLOOKUP($A160&amp;$B160,Лист2!$A:$A &amp; Лист2!$B:$B,Лист2!C:C)</f>
        <v>125</v>
      </c>
      <c r="F160" s="7" cm="1">
        <f t="array" ref="F160">_xlfn.XLOOKUP($A160&amp;$B160,Лист2!$A:$A &amp; Лист2!$B:$B,Лист2!D:D)</f>
        <v>20368</v>
      </c>
      <c r="G160" s="7" cm="1">
        <f t="array" ref="G160">_xlfn.XLOOKUP($A160&amp;$B160,Лист2!$A:$A &amp; Лист2!$B:$B,Лист2!E:E)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25">
      <c r="A161" s="8">
        <v>43959</v>
      </c>
      <c r="B161" s="9" t="s">
        <v>15</v>
      </c>
      <c r="C161" s="9">
        <v>463530</v>
      </c>
      <c r="D161" s="9">
        <v>49123180.5</v>
      </c>
      <c r="E161" s="7" cm="1">
        <f t="array" ref="E161">_xlfn.XLOOKUP($A161&amp;$B161,Лист2!$A:$A &amp; Лист2!$B:$B,Лист2!C:C)</f>
        <v>125</v>
      </c>
      <c r="F161" s="7" cm="1">
        <f t="array" ref="F161">_xlfn.XLOOKUP($A161&amp;$B161,Лист2!$A:$A &amp; Лист2!$B:$B,Лист2!D:D)</f>
        <v>24620</v>
      </c>
      <c r="G161" s="7" cm="1">
        <f t="array" ref="G161">_xlfn.XLOOKUP($A161&amp;$B161,Лист2!$A:$A &amp; Лист2!$B:$B,Лист2!E:E)</f>
        <v>22641</v>
      </c>
      <c r="H161">
        <f t="shared" si="4"/>
        <v>392985.44</v>
      </c>
      <c r="I161">
        <f t="shared" si="5"/>
        <v>19</v>
      </c>
    </row>
    <row r="162" spans="1:9" ht="14.25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 s="7" cm="1">
        <f t="array" ref="E162">_xlfn.XLOOKUP($A162&amp;$B162,Лист2!$A:$A &amp; Лист2!$B:$B,Лист2!C:C)</f>
        <v>125</v>
      </c>
      <c r="F162" s="7" cm="1">
        <f t="array" ref="F162">_xlfn.XLOOKUP($A162&amp;$B162,Лист2!$A:$A &amp; Лист2!$B:$B,Лист2!D:D)</f>
        <v>18014</v>
      </c>
      <c r="G162" s="7" cm="1">
        <f t="array" ref="G162">_xlfn.XLOOKUP($A162&amp;$B162,Лист2!$A:$A &amp; Лист2!$B:$B,Лист2!E:E)</f>
        <v>16675</v>
      </c>
      <c r="H162">
        <f t="shared" si="4"/>
        <v>270111.90999999997</v>
      </c>
      <c r="I162">
        <f t="shared" si="5"/>
        <v>19</v>
      </c>
    </row>
    <row r="163" spans="1:9" ht="14.25" customHeight="1" x14ac:dyDescent="0.25">
      <c r="A163" s="8">
        <v>43975</v>
      </c>
      <c r="B163" s="9" t="s">
        <v>15</v>
      </c>
      <c r="C163" s="9">
        <v>375744</v>
      </c>
      <c r="D163" s="9">
        <v>38191381.5</v>
      </c>
      <c r="E163" s="7" cm="1">
        <f t="array" ref="E163">_xlfn.XLOOKUP($A163&amp;$B163,Лист2!$A:$A &amp; Лист2!$B:$B,Лист2!C:C)</f>
        <v>125</v>
      </c>
      <c r="F163" s="7" cm="1">
        <f t="array" ref="F163">_xlfn.XLOOKUP($A163&amp;$B163,Лист2!$A:$A &amp; Лист2!$B:$B,Лист2!D:D)</f>
        <v>21004</v>
      </c>
      <c r="G163" s="7" cm="1">
        <f t="array" ref="G163">_xlfn.XLOOKUP($A163&amp;$B163,Лист2!$A:$A &amp; Лист2!$B:$B,Лист2!E:E)</f>
        <v>19556</v>
      </c>
      <c r="H163">
        <f t="shared" si="4"/>
        <v>305531.05</v>
      </c>
      <c r="I163">
        <f t="shared" si="5"/>
        <v>21</v>
      </c>
    </row>
    <row r="164" spans="1:9" ht="14.25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 s="7" cm="1">
        <f t="array" ref="E164">_xlfn.XLOOKUP($A164&amp;$B164,Лист2!$A:$A &amp; Лист2!$B:$B,Лист2!C:C)</f>
        <v>36</v>
      </c>
      <c r="F164" s="7" cm="1">
        <f t="array" ref="F164">_xlfn.XLOOKUP($A164&amp;$B164,Лист2!$A:$A &amp; Лист2!$B:$B,Лист2!D:D)</f>
        <v>5286</v>
      </c>
      <c r="G164" s="7" cm="1">
        <f t="array" ref="G164">_xlfn.XLOOKUP($A164&amp;$B164,Лист2!$A:$A &amp; Лист2!$B:$B,Лист2!E:E)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25">
      <c r="A165" s="8">
        <v>43970</v>
      </c>
      <c r="B165" s="9" t="s">
        <v>16</v>
      </c>
      <c r="C165" s="9">
        <v>75796.5</v>
      </c>
      <c r="D165" s="9">
        <v>6173463</v>
      </c>
      <c r="E165" s="7" cm="1">
        <f t="array" ref="E165">_xlfn.XLOOKUP($A165&amp;$B165,Лист2!$A:$A &amp; Лист2!$B:$B,Лист2!C:C)</f>
        <v>36</v>
      </c>
      <c r="F165" s="7" cm="1">
        <f t="array" ref="F165">_xlfn.XLOOKUP($A165&amp;$B165,Лист2!$A:$A &amp; Лист2!$B:$B,Лист2!D:D)</f>
        <v>5094</v>
      </c>
      <c r="G165" s="7" cm="1">
        <f t="array" ref="G165">_xlfn.XLOOKUP($A165&amp;$B165,Лист2!$A:$A &amp; Лист2!$B:$B,Лист2!E:E)</f>
        <v>4716</v>
      </c>
      <c r="H165">
        <f t="shared" si="4"/>
        <v>171485.08</v>
      </c>
      <c r="I165">
        <f t="shared" si="5"/>
        <v>21</v>
      </c>
    </row>
    <row r="166" spans="1:9" ht="14.25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 s="7" cm="1">
        <f t="array" ref="E166">_xlfn.XLOOKUP($A166&amp;$B166,Лист2!$A:$A &amp; Лист2!$B:$B,Лист2!C:C)</f>
        <v>36</v>
      </c>
      <c r="F166" s="7" cm="1">
        <f t="array" ref="F166">_xlfn.XLOOKUP($A166&amp;$B166,Лист2!$A:$A &amp; Лист2!$B:$B,Лист2!D:D)</f>
        <v>4918</v>
      </c>
      <c r="G166" s="7" cm="1">
        <f t="array" ref="G166">_xlfn.XLOOKUP($A166&amp;$B166,Лист2!$A:$A &amp; Лист2!$B:$B,Лист2!E:E)</f>
        <v>4554</v>
      </c>
      <c r="H166">
        <f t="shared" si="4"/>
        <v>165355.63</v>
      </c>
      <c r="I166">
        <f t="shared" si="5"/>
        <v>20</v>
      </c>
    </row>
    <row r="167" spans="1:9" ht="14.25" customHeight="1" x14ac:dyDescent="0.25">
      <c r="A167" s="8">
        <v>43960</v>
      </c>
      <c r="B167" s="9" t="s">
        <v>16</v>
      </c>
      <c r="C167" s="9">
        <v>83373</v>
      </c>
      <c r="D167" s="9">
        <v>7253427</v>
      </c>
      <c r="E167" s="7" cm="1">
        <f t="array" ref="E167">_xlfn.XLOOKUP($A167&amp;$B167,Лист2!$A:$A &amp; Лист2!$B:$B,Лист2!C:C)</f>
        <v>36</v>
      </c>
      <c r="F167" s="7" cm="1">
        <f t="array" ref="F167">_xlfn.XLOOKUP($A167&amp;$B167,Лист2!$A:$A &amp; Лист2!$B:$B,Лист2!D:D)</f>
        <v>5413</v>
      </c>
      <c r="G167" s="7" cm="1">
        <f t="array" ref="G167">_xlfn.XLOOKUP($A167&amp;$B167,Лист2!$A:$A &amp; Лист2!$B:$B,Лист2!E:E)</f>
        <v>4959</v>
      </c>
      <c r="H167">
        <f t="shared" si="4"/>
        <v>201484.08</v>
      </c>
      <c r="I167">
        <f t="shared" si="5"/>
        <v>19</v>
      </c>
    </row>
    <row r="168" spans="1:9" ht="14.25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 s="7" cm="1">
        <f t="array" ref="E168">_xlfn.XLOOKUP($A168&amp;$B168,Лист2!$A:$A &amp; Лист2!$B:$B,Лист2!C:C)</f>
        <v>36</v>
      </c>
      <c r="F168" s="7" cm="1">
        <f t="array" ref="F168">_xlfn.XLOOKUP($A168&amp;$B168,Лист2!$A:$A &amp; Лист2!$B:$B,Лист2!D:D)</f>
        <v>4508</v>
      </c>
      <c r="G168" s="7" cm="1">
        <f t="array" ref="G168">_xlfn.XLOOKUP($A168&amp;$B168,Лист2!$A:$A &amp; Лист2!$B:$B,Лист2!E:E)</f>
        <v>4149</v>
      </c>
      <c r="H168">
        <f t="shared" si="4"/>
        <v>154484.79</v>
      </c>
      <c r="I168">
        <f t="shared" si="5"/>
        <v>19</v>
      </c>
    </row>
    <row r="169" spans="1:9" ht="14.25" customHeight="1" x14ac:dyDescent="0.25">
      <c r="A169" s="8">
        <v>43950</v>
      </c>
      <c r="B169" s="9" t="s">
        <v>16</v>
      </c>
      <c r="C169" s="9">
        <v>74707.5</v>
      </c>
      <c r="D169" s="9">
        <v>6454458</v>
      </c>
      <c r="E169" s="7" cm="1">
        <f t="array" ref="E169">_xlfn.XLOOKUP($A169&amp;$B169,Лист2!$A:$A &amp; Лист2!$B:$B,Лист2!C:C)</f>
        <v>36</v>
      </c>
      <c r="F169" s="7" cm="1">
        <f t="array" ref="F169">_xlfn.XLOOKUP($A169&amp;$B169,Лист2!$A:$A &amp; Лист2!$B:$B,Лист2!D:D)</f>
        <v>4937</v>
      </c>
      <c r="G169" s="7" cm="1">
        <f t="array" ref="G169">_xlfn.XLOOKUP($A169&amp;$B169,Лист2!$A:$A &amp; Лист2!$B:$B,Лист2!E:E)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 s="7" cm="1">
        <f t="array" ref="E170">_xlfn.XLOOKUP($A170&amp;$B170,Лист2!$A:$A &amp; Лист2!$B:$B,Лист2!C:C)</f>
        <v>36</v>
      </c>
      <c r="F170" s="7" cm="1">
        <f t="array" ref="F170">_xlfn.XLOOKUP($A170&amp;$B170,Лист2!$A:$A &amp; Лист2!$B:$B,Лист2!D:D)</f>
        <v>3442</v>
      </c>
      <c r="G170" s="7" cm="1">
        <f t="array" ref="G170">_xlfn.XLOOKUP($A170&amp;$B170,Лист2!$A:$A &amp; Лист2!$B:$B,Лист2!E:E)</f>
        <v>3147</v>
      </c>
      <c r="H170">
        <f t="shared" si="4"/>
        <v>114395.88</v>
      </c>
      <c r="I170">
        <f t="shared" si="5"/>
        <v>18</v>
      </c>
    </row>
    <row r="171" spans="1:9" ht="14.25" customHeight="1" x14ac:dyDescent="0.25">
      <c r="A171" s="8">
        <v>43977</v>
      </c>
      <c r="B171" s="9" t="s">
        <v>16</v>
      </c>
      <c r="C171" s="9">
        <v>67726.5</v>
      </c>
      <c r="D171" s="9">
        <v>5864989.5</v>
      </c>
      <c r="E171" s="7" cm="1">
        <f t="array" ref="E171">_xlfn.XLOOKUP($A171&amp;$B171,Лист2!$A:$A &amp; Лист2!$B:$B,Лист2!C:C)</f>
        <v>36</v>
      </c>
      <c r="F171" s="7" cm="1">
        <f t="array" ref="F171">_xlfn.XLOOKUP($A171&amp;$B171,Лист2!$A:$A &amp; Лист2!$B:$B,Лист2!D:D)</f>
        <v>4770</v>
      </c>
      <c r="G171" s="7" cm="1">
        <f t="array" ref="G171">_xlfn.XLOOKUP($A171&amp;$B171,Лист2!$A:$A &amp; Лист2!$B:$B,Лист2!E:E)</f>
        <v>4424</v>
      </c>
      <c r="H171">
        <f t="shared" si="4"/>
        <v>162916.38</v>
      </c>
      <c r="I171">
        <f t="shared" si="5"/>
        <v>22</v>
      </c>
    </row>
    <row r="172" spans="1:9" ht="14.25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 s="7" cm="1">
        <f t="array" ref="E172">_xlfn.XLOOKUP($A172&amp;$B172,Лист2!$A:$A &amp; Лист2!$B:$B,Лист2!C:C)</f>
        <v>36</v>
      </c>
      <c r="F172" s="7" cm="1">
        <f t="array" ref="F172">_xlfn.XLOOKUP($A172&amp;$B172,Лист2!$A:$A &amp; Лист2!$B:$B,Лист2!D:D)</f>
        <v>5457</v>
      </c>
      <c r="G172" s="7" cm="1">
        <f t="array" ref="G172">_xlfn.XLOOKUP($A172&amp;$B172,Лист2!$A:$A &amp; Лист2!$B:$B,Лист2!E:E)</f>
        <v>4916</v>
      </c>
      <c r="H172">
        <f t="shared" si="4"/>
        <v>195339.58</v>
      </c>
      <c r="I172">
        <f t="shared" si="5"/>
        <v>18</v>
      </c>
    </row>
    <row r="173" spans="1:9" ht="14.25" customHeight="1" x14ac:dyDescent="0.25">
      <c r="A173" s="8">
        <v>43963</v>
      </c>
      <c r="B173" s="9" t="s">
        <v>16</v>
      </c>
      <c r="C173" s="9">
        <v>64390.5</v>
      </c>
      <c r="D173" s="9">
        <v>5523145.5</v>
      </c>
      <c r="E173" s="7" cm="1">
        <f t="array" ref="E173">_xlfn.XLOOKUP($A173&amp;$B173,Лист2!$A:$A &amp; Лист2!$B:$B,Лист2!C:C)</f>
        <v>36</v>
      </c>
      <c r="F173" s="7" cm="1">
        <f t="array" ref="F173">_xlfn.XLOOKUP($A173&amp;$B173,Лист2!$A:$A &amp; Лист2!$B:$B,Лист2!D:D)</f>
        <v>4418</v>
      </c>
      <c r="G173" s="7" cm="1">
        <f t="array" ref="G173">_xlfn.XLOOKUP($A173&amp;$B173,Лист2!$A:$A &amp; Лист2!$B:$B,Лист2!E:E)</f>
        <v>4088</v>
      </c>
      <c r="H173">
        <f t="shared" si="4"/>
        <v>153420.71</v>
      </c>
      <c r="I173">
        <f t="shared" si="5"/>
        <v>20</v>
      </c>
    </row>
    <row r="174" spans="1:9" ht="14.25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 s="7" cm="1">
        <f t="array" ref="E174">_xlfn.XLOOKUP($A174&amp;$B174,Лист2!$A:$A &amp; Лист2!$B:$B,Лист2!C:C)</f>
        <v>36</v>
      </c>
      <c r="F174" s="7" cm="1">
        <f t="array" ref="F174">_xlfn.XLOOKUP($A174&amp;$B174,Лист2!$A:$A &amp; Лист2!$B:$B,Лист2!D:D)</f>
        <v>4816</v>
      </c>
      <c r="G174" s="7" cm="1">
        <f t="array" ref="G174">_xlfn.XLOOKUP($A174&amp;$B174,Лист2!$A:$A &amp; Лист2!$B:$B,Лист2!E:E)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25">
      <c r="A175" s="8">
        <v>43971</v>
      </c>
      <c r="B175" s="9" t="s">
        <v>16</v>
      </c>
      <c r="C175" s="9">
        <v>99631.5</v>
      </c>
      <c r="D175" s="9">
        <v>7121946</v>
      </c>
      <c r="E175" s="7" cm="1">
        <f t="array" ref="E175">_xlfn.XLOOKUP($A175&amp;$B175,Лист2!$A:$A &amp; Лист2!$B:$B,Лист2!C:C)</f>
        <v>36</v>
      </c>
      <c r="F175" s="7" cm="1">
        <f t="array" ref="F175">_xlfn.XLOOKUP($A175&amp;$B175,Лист2!$A:$A &amp; Лист2!$B:$B,Лист2!D:D)</f>
        <v>5914</v>
      </c>
      <c r="G175" s="7" cm="1">
        <f t="array" ref="G175">_xlfn.XLOOKUP($A175&amp;$B175,Лист2!$A:$A &amp; Лист2!$B:$B,Лист2!E:E)</f>
        <v>5384</v>
      </c>
      <c r="H175">
        <f t="shared" si="4"/>
        <v>197831.83</v>
      </c>
      <c r="I175">
        <f t="shared" si="5"/>
        <v>21</v>
      </c>
    </row>
    <row r="176" spans="1:9" ht="14.25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 s="7" cm="1">
        <f t="array" ref="E176">_xlfn.XLOOKUP($A176&amp;$B176,Лист2!$A:$A &amp; Лист2!$B:$B,Лист2!C:C)</f>
        <v>36</v>
      </c>
      <c r="F176" s="7" cm="1">
        <f t="array" ref="F176">_xlfn.XLOOKUP($A176&amp;$B176,Лист2!$A:$A &amp; Лист2!$B:$B,Лист2!D:D)</f>
        <v>4575</v>
      </c>
      <c r="G176" s="7" cm="1">
        <f t="array" ref="G176">_xlfn.XLOOKUP($A176&amp;$B176,Лист2!$A:$A &amp; Лист2!$B:$B,Лист2!E:E)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25">
      <c r="A177" s="8">
        <v>43949</v>
      </c>
      <c r="B177" s="9" t="s">
        <v>16</v>
      </c>
      <c r="C177" s="9">
        <v>73147.5</v>
      </c>
      <c r="D177" s="9">
        <v>6288246</v>
      </c>
      <c r="E177" s="7" cm="1">
        <f t="array" ref="E177">_xlfn.XLOOKUP($A177&amp;$B177,Лист2!$A:$A &amp; Лист2!$B:$B,Лист2!C:C)</f>
        <v>36</v>
      </c>
      <c r="F177" s="7" cm="1">
        <f t="array" ref="F177">_xlfn.XLOOKUP($A177&amp;$B177,Лист2!$A:$A &amp; Лист2!$B:$B,Лист2!D:D)</f>
        <v>4923</v>
      </c>
      <c r="G177" s="7" cm="1">
        <f t="array" ref="G177">_xlfn.XLOOKUP($A177&amp;$B177,Лист2!$A:$A &amp; Лист2!$B:$B,Лист2!E:E)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 s="7" cm="1">
        <f t="array" ref="E178">_xlfn.XLOOKUP($A178&amp;$B178,Лист2!$A:$A &amp; Лист2!$B:$B,Лист2!C:C)</f>
        <v>36</v>
      </c>
      <c r="F178" s="7" cm="1">
        <f t="array" ref="F178">_xlfn.XLOOKUP($A178&amp;$B178,Лист2!$A:$A &amp; Лист2!$B:$B,Лист2!D:D)</f>
        <v>4967</v>
      </c>
      <c r="G178" s="7" cm="1">
        <f t="array" ref="G178">_xlfn.XLOOKUP($A178&amp;$B178,Лист2!$A:$A &amp; Лист2!$B:$B,Лист2!E:E)</f>
        <v>4583</v>
      </c>
      <c r="H178">
        <f t="shared" si="4"/>
        <v>175939.67</v>
      </c>
      <c r="I178">
        <f t="shared" si="5"/>
        <v>20</v>
      </c>
    </row>
    <row r="179" spans="1:9" ht="14.25" customHeight="1" x14ac:dyDescent="0.25">
      <c r="A179" s="8">
        <v>43982</v>
      </c>
      <c r="B179" s="9" t="s">
        <v>15</v>
      </c>
      <c r="C179" s="9">
        <v>379663.5</v>
      </c>
      <c r="D179" s="9">
        <v>39380178</v>
      </c>
      <c r="E179" s="7" cm="1">
        <f t="array" ref="E179">_xlfn.XLOOKUP($A179&amp;$B179,Лист2!$A:$A &amp; Лист2!$B:$B,Лист2!C:C)</f>
        <v>124</v>
      </c>
      <c r="F179" s="7" cm="1">
        <f t="array" ref="F179">_xlfn.XLOOKUP($A179&amp;$B179,Лист2!$A:$A &amp; Лист2!$B:$B,Лист2!D:D)</f>
        <v>21392</v>
      </c>
      <c r="G179" s="7" cm="1">
        <f t="array" ref="G179">_xlfn.XLOOKUP($A179&amp;$B179,Лист2!$A:$A &amp; Лист2!$B:$B,Лист2!E:E)</f>
        <v>19869</v>
      </c>
      <c r="H179">
        <f t="shared" si="4"/>
        <v>317582.08000000002</v>
      </c>
      <c r="I179">
        <f t="shared" si="5"/>
        <v>22</v>
      </c>
    </row>
    <row r="180" spans="1:9" ht="14.25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 s="7" cm="1">
        <f t="array" ref="E180">_xlfn.XLOOKUP($A180&amp;$B180,Лист2!$A:$A &amp; Лист2!$B:$B,Лист2!C:C)</f>
        <v>36</v>
      </c>
      <c r="F180" s="7" cm="1">
        <f t="array" ref="F180">_xlfn.XLOOKUP($A180&amp;$B180,Лист2!$A:$A &amp; Лист2!$B:$B,Лист2!D:D)</f>
        <v>4751</v>
      </c>
      <c r="G180" s="7" cm="1">
        <f t="array" ref="G180">_xlfn.XLOOKUP($A180&amp;$B180,Лист2!$A:$A &amp; Лист2!$B:$B,Лист2!E:E)</f>
        <v>4370</v>
      </c>
      <c r="H180">
        <f t="shared" si="4"/>
        <v>172814.46</v>
      </c>
      <c r="I180">
        <f t="shared" si="5"/>
        <v>18</v>
      </c>
    </row>
    <row r="181" spans="1:9" ht="14.25" customHeight="1" x14ac:dyDescent="0.25">
      <c r="A181" s="8">
        <v>43981</v>
      </c>
      <c r="B181" s="9" t="s">
        <v>15</v>
      </c>
      <c r="C181" s="9">
        <v>453123</v>
      </c>
      <c r="D181" s="9">
        <v>46370904</v>
      </c>
      <c r="E181" s="7" cm="1">
        <f t="array" ref="E181">_xlfn.XLOOKUP($A181&amp;$B181,Лист2!$A:$A &amp; Лист2!$B:$B,Лист2!C:C)</f>
        <v>124</v>
      </c>
      <c r="F181" s="7" cm="1">
        <f t="array" ref="F181">_xlfn.XLOOKUP($A181&amp;$B181,Лист2!$A:$A &amp; Лист2!$B:$B,Лист2!D:D)</f>
        <v>24325</v>
      </c>
      <c r="G181" s="7" cm="1">
        <f t="array" ref="G181">_xlfn.XLOOKUP($A181&amp;$B181,Лист2!$A:$A &amp; Лист2!$B:$B,Лист2!E:E)</f>
        <v>22469</v>
      </c>
      <c r="H181">
        <f t="shared" si="4"/>
        <v>373958.9</v>
      </c>
      <c r="I181">
        <f t="shared" si="5"/>
        <v>22</v>
      </c>
    </row>
    <row r="182" spans="1:9" ht="14.25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 s="7" cm="1">
        <f t="array" ref="E182">_xlfn.XLOOKUP($A182&amp;$B182,Лист2!$A:$A &amp; Лист2!$B:$B,Лист2!C:C)</f>
        <v>36</v>
      </c>
      <c r="F182" s="7" cm="1">
        <f t="array" ref="F182">_xlfn.XLOOKUP($A182&amp;$B182,Лист2!$A:$A &amp; Лист2!$B:$B,Лист2!D:D)</f>
        <v>4384</v>
      </c>
      <c r="G182" s="7" cm="1">
        <f t="array" ref="G182">_xlfn.XLOOKUP($A182&amp;$B182,Лист2!$A:$A &amp; Лист2!$B:$B,Лист2!E:E)</f>
        <v>4025</v>
      </c>
      <c r="H182">
        <f t="shared" si="4"/>
        <v>151503.38</v>
      </c>
      <c r="I182">
        <f t="shared" si="5"/>
        <v>19</v>
      </c>
    </row>
    <row r="183" spans="1:9" ht="14.25" customHeight="1" x14ac:dyDescent="0.25">
      <c r="A183" s="8">
        <v>43974</v>
      </c>
      <c r="B183" s="9" t="s">
        <v>16</v>
      </c>
      <c r="C183" s="9">
        <v>89556</v>
      </c>
      <c r="D183" s="9">
        <v>7173117</v>
      </c>
      <c r="E183" s="7" cm="1">
        <f t="array" ref="E183">_xlfn.XLOOKUP($A183&amp;$B183,Лист2!$A:$A &amp; Лист2!$B:$B,Лист2!C:C)</f>
        <v>36</v>
      </c>
      <c r="F183" s="7" cm="1">
        <f t="array" ref="F183">_xlfn.XLOOKUP($A183&amp;$B183,Лист2!$A:$A &amp; Лист2!$B:$B,Лист2!D:D)</f>
        <v>5651</v>
      </c>
      <c r="G183" s="7" cm="1">
        <f t="array" ref="G183">_xlfn.XLOOKUP($A183&amp;$B183,Лист2!$A:$A &amp; Лист2!$B:$B,Лист2!E:E)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 s="7" cm="1">
        <f t="array" ref="E184">_xlfn.XLOOKUP($A184&amp;$B184,Лист2!$A:$A &amp; Лист2!$B:$B,Лист2!C:C)</f>
        <v>124</v>
      </c>
      <c r="F184" s="7" cm="1">
        <f t="array" ref="F184">_xlfn.XLOOKUP($A184&amp;$B184,Лист2!$A:$A &amp; Лист2!$B:$B,Лист2!D:D)</f>
        <v>20868</v>
      </c>
      <c r="G184" s="7" cm="1">
        <f t="array" ref="G184">_xlfn.XLOOKUP($A184&amp;$B184,Лист2!$A:$A &amp; Лист2!$B:$B,Лист2!E:E)</f>
        <v>19342</v>
      </c>
      <c r="H184">
        <f t="shared" si="4"/>
        <v>306029.75</v>
      </c>
      <c r="I184">
        <f t="shared" si="5"/>
        <v>22</v>
      </c>
    </row>
    <row r="185" spans="1:9" ht="14.25" customHeight="1" x14ac:dyDescent="0.25">
      <c r="A185" s="8">
        <v>43976</v>
      </c>
      <c r="B185" s="9" t="s">
        <v>16</v>
      </c>
      <c r="C185" s="9">
        <v>66316.5</v>
      </c>
      <c r="D185" s="9">
        <v>5704650</v>
      </c>
      <c r="E185" s="7" cm="1">
        <f t="array" ref="E185">_xlfn.XLOOKUP($A185&amp;$B185,Лист2!$A:$A &amp; Лист2!$B:$B,Лист2!C:C)</f>
        <v>36</v>
      </c>
      <c r="F185" s="7" cm="1">
        <f t="array" ref="F185">_xlfn.XLOOKUP($A185&amp;$B185,Лист2!$A:$A &amp; Лист2!$B:$B,Лист2!D:D)</f>
        <v>4641</v>
      </c>
      <c r="G185" s="7" cm="1">
        <f t="array" ref="G185">_xlfn.XLOOKUP($A185&amp;$B185,Лист2!$A:$A &amp; Лист2!$B:$B,Лист2!E:E)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 s="7" cm="1">
        <f t="array" ref="E186">_xlfn.XLOOKUP($A186&amp;$B186,Лист2!$A:$A &amp; Лист2!$B:$B,Лист2!C:C)</f>
        <v>36</v>
      </c>
      <c r="F186" s="7" cm="1">
        <f t="array" ref="F186">_xlfn.XLOOKUP($A186&amp;$B186,Лист2!$A:$A &amp; Лист2!$B:$B,Лист2!D:D)</f>
        <v>5143</v>
      </c>
      <c r="G186" s="7" cm="1">
        <f t="array" ref="G186">_xlfn.XLOOKUP($A186&amp;$B186,Лист2!$A:$A &amp; Лист2!$B:$B,Лист2!E:E)</f>
        <v>4715</v>
      </c>
      <c r="H186">
        <f t="shared" si="4"/>
        <v>189433.17</v>
      </c>
      <c r="I186">
        <f t="shared" si="5"/>
        <v>18</v>
      </c>
    </row>
    <row r="187" spans="1:9" ht="14.25" customHeight="1" x14ac:dyDescent="0.25">
      <c r="A187" s="8">
        <v>43961</v>
      </c>
      <c r="B187" s="9" t="s">
        <v>16</v>
      </c>
      <c r="C187" s="9">
        <v>88311</v>
      </c>
      <c r="D187" s="9">
        <v>7726069.5</v>
      </c>
      <c r="E187" s="7" cm="1">
        <f t="array" ref="E187">_xlfn.XLOOKUP($A187&amp;$B187,Лист2!$A:$A &amp; Лист2!$B:$B,Лист2!C:C)</f>
        <v>36</v>
      </c>
      <c r="F187" s="7" cm="1">
        <f t="array" ref="F187">_xlfn.XLOOKUP($A187&amp;$B187,Лист2!$A:$A &amp; Лист2!$B:$B,Лист2!D:D)</f>
        <v>5746</v>
      </c>
      <c r="G187" s="7" cm="1">
        <f t="array" ref="G187">_xlfn.XLOOKUP($A187&amp;$B187,Лист2!$A:$A &amp; Лист2!$B:$B,Лист2!E:E)</f>
        <v>5277</v>
      </c>
      <c r="H187">
        <f t="shared" si="4"/>
        <v>214613.04</v>
      </c>
      <c r="I187">
        <f t="shared" si="5"/>
        <v>19</v>
      </c>
    </row>
    <row r="188" spans="1:9" ht="14.25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 s="7" cm="1">
        <f t="array" ref="E188">_xlfn.XLOOKUP($A188&amp;$B188,Лист2!$A:$A &amp; Лист2!$B:$B,Лист2!C:C)</f>
        <v>36</v>
      </c>
      <c r="F188" s="7" cm="1">
        <f t="array" ref="F188">_xlfn.XLOOKUP($A188&amp;$B188,Лист2!$A:$A &amp; Лист2!$B:$B,Лист2!D:D)</f>
        <v>4199</v>
      </c>
      <c r="G188" s="7" cm="1">
        <f t="array" ref="G188">_xlfn.XLOOKUP($A188&amp;$B188,Лист2!$A:$A &amp; Лист2!$B:$B,Лист2!E:E)</f>
        <v>3867</v>
      </c>
      <c r="H188">
        <f t="shared" si="4"/>
        <v>149047.46</v>
      </c>
      <c r="I188">
        <f t="shared" si="5"/>
        <v>19</v>
      </c>
    </row>
    <row r="189" spans="1:9" ht="14.25" customHeight="1" x14ac:dyDescent="0.25">
      <c r="A189" s="8">
        <v>43958</v>
      </c>
      <c r="B189" s="9" t="s">
        <v>16</v>
      </c>
      <c r="C189" s="9">
        <v>71067</v>
      </c>
      <c r="D189" s="9">
        <v>6175837.5</v>
      </c>
      <c r="E189" s="7" cm="1">
        <f t="array" ref="E189">_xlfn.XLOOKUP($A189&amp;$B189,Лист2!$A:$A &amp; Лист2!$B:$B,Лист2!C:C)</f>
        <v>36</v>
      </c>
      <c r="F189" s="7" cm="1">
        <f t="array" ref="F189">_xlfn.XLOOKUP($A189&amp;$B189,Лист2!$A:$A &amp; Лист2!$B:$B,Лист2!D:D)</f>
        <v>4826</v>
      </c>
      <c r="G189" s="7" cm="1">
        <f t="array" ref="G189">_xlfn.XLOOKUP($A189&amp;$B189,Лист2!$A:$A &amp; Лист2!$B:$B,Лист2!E:E)</f>
        <v>4426</v>
      </c>
      <c r="H189">
        <f t="shared" si="4"/>
        <v>171551.04</v>
      </c>
      <c r="I189">
        <f t="shared" si="5"/>
        <v>19</v>
      </c>
    </row>
    <row r="190" spans="1:9" ht="14.25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 s="7" cm="1">
        <f t="array" ref="E190">_xlfn.XLOOKUP($A190&amp;$B190,Лист2!$A:$A &amp; Лист2!$B:$B,Лист2!C:C)</f>
        <v>36</v>
      </c>
      <c r="F190" s="7" cm="1">
        <f t="array" ref="F190">_xlfn.XLOOKUP($A190&amp;$B190,Лист2!$A:$A &amp; Лист2!$B:$B,Лист2!D:D)</f>
        <v>4915</v>
      </c>
      <c r="G190" s="7" cm="1">
        <f t="array" ref="G190">_xlfn.XLOOKUP($A190&amp;$B190,Лист2!$A:$A &amp; Лист2!$B:$B,Лист2!E:E)</f>
        <v>4562</v>
      </c>
      <c r="H190">
        <f t="shared" si="4"/>
        <v>169395.46</v>
      </c>
      <c r="I190">
        <f t="shared" si="5"/>
        <v>21</v>
      </c>
    </row>
    <row r="191" spans="1:9" ht="14.25" customHeight="1" x14ac:dyDescent="0.25">
      <c r="A191" s="8">
        <v>43967</v>
      </c>
      <c r="B191" s="9" t="s">
        <v>17</v>
      </c>
      <c r="C191" s="9">
        <v>44560.5</v>
      </c>
      <c r="D191" s="9">
        <v>4025148</v>
      </c>
      <c r="E191" s="7" cm="1">
        <f t="array" ref="E191">_xlfn.XLOOKUP($A191&amp;$B191,Лист2!$A:$A &amp; Лист2!$B:$B,Лист2!C:C)</f>
        <v>21</v>
      </c>
      <c r="F191" s="7" cm="1">
        <f t="array" ref="F191">_xlfn.XLOOKUP($A191&amp;$B191,Лист2!$A:$A &amp; Лист2!$B:$B,Лист2!D:D)</f>
        <v>2427</v>
      </c>
      <c r="G191" s="7" cm="1">
        <f t="array" ref="G191">_xlfn.XLOOKUP($A191&amp;$B191,Лист2!$A:$A &amp; Лист2!$B:$B,Лист2!E:E)</f>
        <v>2213</v>
      </c>
      <c r="H191">
        <f t="shared" si="4"/>
        <v>191673.71</v>
      </c>
      <c r="I191">
        <f t="shared" si="5"/>
        <v>20</v>
      </c>
    </row>
    <row r="192" spans="1:9" ht="14.25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 s="7" cm="1">
        <f t="array" ref="E192">_xlfn.XLOOKUP($A192&amp;$B192,Лист2!$A:$A &amp; Лист2!$B:$B,Лист2!C:C)</f>
        <v>21</v>
      </c>
      <c r="F192" s="7" cm="1">
        <f t="array" ref="F192">_xlfn.XLOOKUP($A192&amp;$B192,Лист2!$A:$A &amp; Лист2!$B:$B,Лист2!D:D)</f>
        <v>2245</v>
      </c>
      <c r="G192" s="7" cm="1">
        <f t="array" ref="G192">_xlfn.XLOOKUP($A192&amp;$B192,Лист2!$A:$A &amp; Лист2!$B:$B,Лист2!E:E)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25">
      <c r="A193" s="8">
        <v>43968</v>
      </c>
      <c r="B193" s="9" t="s">
        <v>17</v>
      </c>
      <c r="C193" s="9">
        <v>34830</v>
      </c>
      <c r="D193" s="9">
        <v>3191155.5</v>
      </c>
      <c r="E193" s="7" cm="1">
        <f t="array" ref="E193">_xlfn.XLOOKUP($A193&amp;$B193,Лист2!$A:$A &amp; Лист2!$B:$B,Лист2!C:C)</f>
        <v>21</v>
      </c>
      <c r="F193" s="7" cm="1">
        <f t="array" ref="F193">_xlfn.XLOOKUP($A193&amp;$B193,Лист2!$A:$A &amp; Лист2!$B:$B,Лист2!D:D)</f>
        <v>2054</v>
      </c>
      <c r="G193" s="7" cm="1">
        <f t="array" ref="G193">_xlfn.XLOOKUP($A193&amp;$B193,Лист2!$A:$A &amp; Лист2!$B:$B,Лист2!E:E)</f>
        <v>1883</v>
      </c>
      <c r="H193">
        <f t="shared" si="4"/>
        <v>151959.79</v>
      </c>
      <c r="I193">
        <f t="shared" si="5"/>
        <v>20</v>
      </c>
    </row>
    <row r="194" spans="1:9" ht="14.25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 s="7" cm="1">
        <f t="array" ref="E194">_xlfn.XLOOKUP($A194&amp;$B194,Лист2!$A:$A &amp; Лист2!$B:$B,Лист2!C:C)</f>
        <v>21</v>
      </c>
      <c r="F194" s="7" cm="1">
        <f t="array" ref="F194">_xlfn.XLOOKUP($A194&amp;$B194,Лист2!$A:$A &amp; Лист2!$B:$B,Лист2!D:D)</f>
        <v>1891</v>
      </c>
      <c r="G194" s="7" cm="1">
        <f t="array" ref="G194">_xlfn.XLOOKUP($A194&amp;$B194,Лист2!$A:$A &amp; Лист2!$B:$B,Лист2!E:E)</f>
        <v>1709</v>
      </c>
      <c r="H194">
        <f t="shared" si="4"/>
        <v>146899.64000000001</v>
      </c>
      <c r="I194">
        <f t="shared" si="5"/>
        <v>19</v>
      </c>
    </row>
    <row r="195" spans="1:9" ht="14.25" customHeight="1" x14ac:dyDescent="0.25">
      <c r="A195" s="8">
        <v>43955</v>
      </c>
      <c r="B195" s="9" t="s">
        <v>17</v>
      </c>
      <c r="C195" s="9">
        <v>30780</v>
      </c>
      <c r="D195" s="9">
        <v>2817853.5</v>
      </c>
      <c r="E195" s="7" cm="1">
        <f t="array" ref="E195">_xlfn.XLOOKUP($A195&amp;$B195,Лист2!$A:$A &amp; Лист2!$B:$B,Лист2!C:C)</f>
        <v>20</v>
      </c>
      <c r="F195" s="7" cm="1">
        <f t="array" ref="F195">_xlfn.XLOOKUP($A195&amp;$B195,Лист2!$A:$A &amp; Лист2!$B:$B,Лист2!D:D)</f>
        <v>1804</v>
      </c>
      <c r="G195" s="7" cm="1">
        <f t="array" ref="G195">_xlfn.XLOOKUP($A195&amp;$B195,Лист2!$A:$A &amp; Лист2!$B:$B,Лист2!E:E)</f>
        <v>1638</v>
      </c>
      <c r="H195">
        <f t="shared" ref="H195:H258" si="6">ROUND(D195/E195,2)</f>
        <v>140892.68</v>
      </c>
      <c r="I195">
        <f t="shared" ref="I195:I258" si="7">WEEKNUM(A195,2)</f>
        <v>19</v>
      </c>
    </row>
    <row r="196" spans="1:9" ht="14.25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 s="7" cm="1">
        <f t="array" ref="E196">_xlfn.XLOOKUP($A196&amp;$B196,Лист2!$A:$A &amp; Лист2!$B:$B,Лист2!C:C)</f>
        <v>19</v>
      </c>
      <c r="F196" s="7" cm="1">
        <f t="array" ref="F196">_xlfn.XLOOKUP($A196&amp;$B196,Лист2!$A:$A &amp; Лист2!$B:$B,Лист2!D:D)</f>
        <v>1676</v>
      </c>
      <c r="G196" s="7" cm="1">
        <f t="array" ref="G196">_xlfn.XLOOKUP($A196&amp;$B196,Лист2!$A:$A &amp; Лист2!$B:$B,Лист2!E:E)</f>
        <v>1516</v>
      </c>
      <c r="H196">
        <f t="shared" si="6"/>
        <v>138294.47</v>
      </c>
      <c r="I196">
        <f t="shared" si="7"/>
        <v>18</v>
      </c>
    </row>
    <row r="197" spans="1:9" ht="14.25" customHeight="1" x14ac:dyDescent="0.25">
      <c r="A197" s="8">
        <v>43953</v>
      </c>
      <c r="B197" s="9" t="s">
        <v>17</v>
      </c>
      <c r="C197" s="9">
        <v>26428.5</v>
      </c>
      <c r="D197" s="9">
        <v>2470465.5</v>
      </c>
      <c r="E197" s="7" cm="1">
        <f t="array" ref="E197">_xlfn.XLOOKUP($A197&amp;$B197,Лист2!$A:$A &amp; Лист2!$B:$B,Лист2!C:C)</f>
        <v>20</v>
      </c>
      <c r="F197" s="7" cm="1">
        <f t="array" ref="F197">_xlfn.XLOOKUP($A197&amp;$B197,Лист2!$A:$A &amp; Лист2!$B:$B,Лист2!D:D)</f>
        <v>1613</v>
      </c>
      <c r="G197" s="7" cm="1">
        <f t="array" ref="G197">_xlfn.XLOOKUP($A197&amp;$B197,Лист2!$A:$A &amp; Лист2!$B:$B,Лист2!E:E)</f>
        <v>1457</v>
      </c>
      <c r="H197">
        <f t="shared" si="6"/>
        <v>123523.28</v>
      </c>
      <c r="I197">
        <f t="shared" si="7"/>
        <v>18</v>
      </c>
    </row>
    <row r="198" spans="1:9" ht="14.25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 s="7" cm="1">
        <f t="array" ref="E198">_xlfn.XLOOKUP($A198&amp;$B198,Лист2!$A:$A &amp; Лист2!$B:$B,Лист2!C:C)</f>
        <v>21</v>
      </c>
      <c r="F198" s="7" cm="1">
        <f t="array" ref="F198">_xlfn.XLOOKUP($A198&amp;$B198,Лист2!$A:$A &amp; Лист2!$B:$B,Лист2!D:D)</f>
        <v>2418</v>
      </c>
      <c r="G198" s="7" cm="1">
        <f t="array" ref="G198">_xlfn.XLOOKUP($A198&amp;$B198,Лист2!$A:$A &amp; Лист2!$B:$B,Лист2!E:E)</f>
        <v>2215</v>
      </c>
      <c r="H198">
        <f t="shared" si="6"/>
        <v>176205.29</v>
      </c>
      <c r="I198">
        <f t="shared" si="7"/>
        <v>22</v>
      </c>
    </row>
    <row r="199" spans="1:9" ht="14.25" customHeight="1" x14ac:dyDescent="0.25">
      <c r="A199" s="8">
        <v>43952</v>
      </c>
      <c r="B199" s="9" t="s">
        <v>17</v>
      </c>
      <c r="C199" s="9">
        <v>46620</v>
      </c>
      <c r="D199" s="9">
        <v>4293241.5</v>
      </c>
      <c r="E199" s="7" cm="1">
        <f t="array" ref="E199">_xlfn.XLOOKUP($A199&amp;$B199,Лист2!$A:$A &amp; Лист2!$B:$B,Лист2!C:C)</f>
        <v>20</v>
      </c>
      <c r="F199" s="7" cm="1">
        <f t="array" ref="F199">_xlfn.XLOOKUP($A199&amp;$B199,Лист2!$A:$A &amp; Лист2!$B:$B,Лист2!D:D)</f>
        <v>2468</v>
      </c>
      <c r="G199" s="7" cm="1">
        <f t="array" ref="G199">_xlfn.XLOOKUP($A199&amp;$B199,Лист2!$A:$A &amp; Лист2!$B:$B,Лист2!E:E)</f>
        <v>2221</v>
      </c>
      <c r="H199">
        <f t="shared" si="6"/>
        <v>214662.08</v>
      </c>
      <c r="I199">
        <f t="shared" si="7"/>
        <v>18</v>
      </c>
    </row>
    <row r="200" spans="1:9" ht="14.25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 s="7" cm="1">
        <f t="array" ref="E200">_xlfn.XLOOKUP($A200&amp;$B200,Лист2!$A:$A &amp; Лист2!$B:$B,Лист2!C:C)</f>
        <v>21</v>
      </c>
      <c r="F200" s="7" cm="1">
        <f t="array" ref="F200">_xlfn.XLOOKUP($A200&amp;$B200,Лист2!$A:$A &amp; Лист2!$B:$B,Лист2!D:D)</f>
        <v>1926</v>
      </c>
      <c r="G200" s="7" cm="1">
        <f t="array" ref="G200">_xlfn.XLOOKUP($A200&amp;$B200,Лист2!$A:$A &amp; Лист2!$B:$B,Лист2!E:E)</f>
        <v>1745</v>
      </c>
      <c r="H200">
        <f t="shared" si="6"/>
        <v>146695.93</v>
      </c>
      <c r="I200">
        <f t="shared" si="7"/>
        <v>20</v>
      </c>
    </row>
    <row r="201" spans="1:9" ht="14.25" customHeight="1" x14ac:dyDescent="0.25">
      <c r="A201" s="8">
        <v>43972</v>
      </c>
      <c r="B201" s="9" t="s">
        <v>17</v>
      </c>
      <c r="C201" s="9">
        <v>40819.5</v>
      </c>
      <c r="D201" s="9">
        <v>3810394.5</v>
      </c>
      <c r="E201" s="7" cm="1">
        <f t="array" ref="E201">_xlfn.XLOOKUP($A201&amp;$B201,Лист2!$A:$A &amp; Лист2!$B:$B,Лист2!C:C)</f>
        <v>21</v>
      </c>
      <c r="F201" s="7" cm="1">
        <f t="array" ref="F201">_xlfn.XLOOKUP($A201&amp;$B201,Лист2!$A:$A &amp; Лист2!$B:$B,Лист2!D:D)</f>
        <v>2335</v>
      </c>
      <c r="G201" s="7" cm="1">
        <f t="array" ref="G201">_xlfn.XLOOKUP($A201&amp;$B201,Лист2!$A:$A &amp; Лист2!$B:$B,Лист2!E:E)</f>
        <v>2126</v>
      </c>
      <c r="H201">
        <f t="shared" si="6"/>
        <v>181447.36</v>
      </c>
      <c r="I201">
        <f t="shared" si="7"/>
        <v>21</v>
      </c>
    </row>
    <row r="202" spans="1:9" ht="14.25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 s="7" cm="1">
        <f t="array" ref="E202">_xlfn.XLOOKUP($A202&amp;$B202,Лист2!$A:$A &amp; Лист2!$B:$B,Лист2!C:C)</f>
        <v>21</v>
      </c>
      <c r="F202" s="7" cm="1">
        <f t="array" ref="F202">_xlfn.XLOOKUP($A202&amp;$B202,Лист2!$A:$A &amp; Лист2!$B:$B,Лист2!D:D)</f>
        <v>2410</v>
      </c>
      <c r="G202" s="7" cm="1">
        <f t="array" ref="G202">_xlfn.XLOOKUP($A202&amp;$B202,Лист2!$A:$A &amp; Лист2!$B:$B,Лист2!E:E)</f>
        <v>2202</v>
      </c>
      <c r="H202">
        <f t="shared" si="6"/>
        <v>186618.43</v>
      </c>
      <c r="I202">
        <f t="shared" si="7"/>
        <v>21</v>
      </c>
    </row>
    <row r="203" spans="1:9" ht="14.25" customHeight="1" x14ac:dyDescent="0.25">
      <c r="A203" s="8">
        <v>43956</v>
      </c>
      <c r="B203" s="9" t="s">
        <v>17</v>
      </c>
      <c r="C203" s="9">
        <v>29482.5</v>
      </c>
      <c r="D203" s="9">
        <v>2648688</v>
      </c>
      <c r="E203" s="7" cm="1">
        <f t="array" ref="E203">_xlfn.XLOOKUP($A203&amp;$B203,Лист2!$A:$A &amp; Лист2!$B:$B,Лист2!C:C)</f>
        <v>20</v>
      </c>
      <c r="F203" s="7" cm="1">
        <f t="array" ref="F203">_xlfn.XLOOKUP($A203&amp;$B203,Лист2!$A:$A &amp; Лист2!$B:$B,Лист2!D:D)</f>
        <v>1757</v>
      </c>
      <c r="G203" s="7" cm="1">
        <f t="array" ref="G203">_xlfn.XLOOKUP($A203&amp;$B203,Лист2!$A:$A &amp; Лист2!$B:$B,Лист2!E:E)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 s="7" cm="1">
        <f t="array" ref="E204">_xlfn.XLOOKUP($A204&amp;$B204,Лист2!$A:$A &amp; Лист2!$B:$B,Лист2!C:C)</f>
        <v>19</v>
      </c>
      <c r="F204" s="7" cm="1">
        <f t="array" ref="F204">_xlfn.XLOOKUP($A204&amp;$B204,Лист2!$A:$A &amp; Лист2!$B:$B,Лист2!D:D)</f>
        <v>1846</v>
      </c>
      <c r="G204" s="7" cm="1">
        <f t="array" ref="G204">_xlfn.XLOOKUP($A204&amp;$B204,Лист2!$A:$A &amp; Лист2!$B:$B,Лист2!E:E)</f>
        <v>1681</v>
      </c>
      <c r="H204">
        <f t="shared" si="6"/>
        <v>150715.82</v>
      </c>
      <c r="I204">
        <f t="shared" si="7"/>
        <v>18</v>
      </c>
    </row>
    <row r="205" spans="1:9" ht="14.25" customHeight="1" x14ac:dyDescent="0.25">
      <c r="A205" s="8">
        <v>43964</v>
      </c>
      <c r="B205" s="9" t="s">
        <v>17</v>
      </c>
      <c r="C205" s="9">
        <v>35535</v>
      </c>
      <c r="D205" s="9">
        <v>3288069</v>
      </c>
      <c r="E205" s="7" cm="1">
        <f t="array" ref="E205">_xlfn.XLOOKUP($A205&amp;$B205,Лист2!$A:$A &amp; Лист2!$B:$B,Лист2!C:C)</f>
        <v>21</v>
      </c>
      <c r="F205" s="7" cm="1">
        <f t="array" ref="F205">_xlfn.XLOOKUP($A205&amp;$B205,Лист2!$A:$A &amp; Лист2!$B:$B,Лист2!D:D)</f>
        <v>2061</v>
      </c>
      <c r="G205" s="7" cm="1">
        <f t="array" ref="G205">_xlfn.XLOOKUP($A205&amp;$B205,Лист2!$A:$A &amp; Лист2!$B:$B,Лист2!E:E)</f>
        <v>1876</v>
      </c>
      <c r="H205">
        <f t="shared" si="6"/>
        <v>156574.71</v>
      </c>
      <c r="I205">
        <f t="shared" si="7"/>
        <v>20</v>
      </c>
    </row>
    <row r="206" spans="1:9" ht="14.25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 s="7" cm="1">
        <f t="array" ref="E206">_xlfn.XLOOKUP($A206&amp;$B206,Лист2!$A:$A &amp; Лист2!$B:$B,Лист2!C:C)</f>
        <v>37</v>
      </c>
      <c r="F206" s="7" cm="1">
        <f t="array" ref="F206">_xlfn.XLOOKUP($A206&amp;$B206,Лист2!$A:$A &amp; Лист2!$B:$B,Лист2!D:D)</f>
        <v>5215</v>
      </c>
      <c r="G206" s="7" cm="1">
        <f t="array" ref="G206">_xlfn.XLOOKUP($A206&amp;$B206,Лист2!$A:$A &amp; Лист2!$B:$B,Лист2!E:E)</f>
        <v>4848</v>
      </c>
      <c r="H206">
        <f t="shared" si="6"/>
        <v>175698.61</v>
      </c>
      <c r="I206">
        <f t="shared" si="7"/>
        <v>22</v>
      </c>
    </row>
    <row r="207" spans="1:9" ht="14.25" customHeight="1" x14ac:dyDescent="0.25">
      <c r="A207" s="8">
        <v>43954</v>
      </c>
      <c r="B207" s="9" t="s">
        <v>17</v>
      </c>
      <c r="C207" s="9">
        <v>29935.5</v>
      </c>
      <c r="D207" s="9">
        <v>2720002.5</v>
      </c>
      <c r="E207" s="7" cm="1">
        <f t="array" ref="E207">_xlfn.XLOOKUP($A207&amp;$B207,Лист2!$A:$A &amp; Лист2!$B:$B,Лист2!C:C)</f>
        <v>20</v>
      </c>
      <c r="F207" s="7" cm="1">
        <f t="array" ref="F207">_xlfn.XLOOKUP($A207&amp;$B207,Лист2!$A:$A &amp; Лист2!$B:$B,Лист2!D:D)</f>
        <v>1716</v>
      </c>
      <c r="G207" s="7" cm="1">
        <f t="array" ref="G207">_xlfn.XLOOKUP($A207&amp;$B207,Лист2!$A:$A &amp; Лист2!$B:$B,Лист2!E:E)</f>
        <v>1561</v>
      </c>
      <c r="H207">
        <f t="shared" si="6"/>
        <v>136000.13</v>
      </c>
      <c r="I207">
        <f t="shared" si="7"/>
        <v>18</v>
      </c>
    </row>
    <row r="208" spans="1:9" ht="14.25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 s="7" cm="1">
        <f t="array" ref="E208">_xlfn.XLOOKUP($A208&amp;$B208,Лист2!$A:$A &amp; Лист2!$B:$B,Лист2!C:C)</f>
        <v>37</v>
      </c>
      <c r="F208" s="7" cm="1">
        <f t="array" ref="F208">_xlfn.XLOOKUP($A208&amp;$B208,Лист2!$A:$A &amp; Лист2!$B:$B,Лист2!D:D)</f>
        <v>6645</v>
      </c>
      <c r="G208" s="7" cm="1">
        <f t="array" ref="G208">_xlfn.XLOOKUP($A208&amp;$B208,Лист2!$A:$A &amp; Лист2!$B:$B,Лист2!E:E)</f>
        <v>6122</v>
      </c>
      <c r="H208">
        <f t="shared" si="6"/>
        <v>245902.34</v>
      </c>
      <c r="I208">
        <f t="shared" si="7"/>
        <v>22</v>
      </c>
    </row>
    <row r="209" spans="1:9" ht="14.25" customHeight="1" x14ac:dyDescent="0.25">
      <c r="A209" s="8">
        <v>43957</v>
      </c>
      <c r="B209" s="9" t="s">
        <v>17</v>
      </c>
      <c r="C209" s="9">
        <v>30342</v>
      </c>
      <c r="D209" s="9">
        <v>2738127</v>
      </c>
      <c r="E209" s="7" cm="1">
        <f t="array" ref="E209">_xlfn.XLOOKUP($A209&amp;$B209,Лист2!$A:$A &amp; Лист2!$B:$B,Лист2!C:C)</f>
        <v>20</v>
      </c>
      <c r="F209" s="7" cm="1">
        <f t="array" ref="F209">_xlfn.XLOOKUP($A209&amp;$B209,Лист2!$A:$A &amp; Лист2!$B:$B,Лист2!D:D)</f>
        <v>1747</v>
      </c>
      <c r="G209" s="7" cm="1">
        <f t="array" ref="G209">_xlfn.XLOOKUP($A209&amp;$B209,Лист2!$A:$A &amp; Лист2!$B:$B,Лист2!E:E)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 s="7" cm="1">
        <f t="array" ref="E210">_xlfn.XLOOKUP($A210&amp;$B210,Лист2!$A:$A &amp; Лист2!$B:$B,Лист2!C:C)</f>
        <v>21</v>
      </c>
      <c r="F210" s="7" cm="1">
        <f t="array" ref="F210">_xlfn.XLOOKUP($A210&amp;$B210,Лист2!$A:$A &amp; Лист2!$B:$B,Лист2!D:D)</f>
        <v>2460</v>
      </c>
      <c r="G210" s="7" cm="1">
        <f t="array" ref="G210">_xlfn.XLOOKUP($A210&amp;$B210,Лист2!$A:$A &amp; Лист2!$B:$B,Лист2!E:E)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25">
      <c r="A211" s="8">
        <v>43979</v>
      </c>
      <c r="B211" s="9" t="s">
        <v>16</v>
      </c>
      <c r="C211" s="9">
        <v>69945</v>
      </c>
      <c r="D211" s="9">
        <v>6101931</v>
      </c>
      <c r="E211" s="7" cm="1">
        <f t="array" ref="E211">_xlfn.XLOOKUP($A211&amp;$B211,Лист2!$A:$A &amp; Лист2!$B:$B,Лист2!C:C)</f>
        <v>37</v>
      </c>
      <c r="F211" s="7" cm="1">
        <f t="array" ref="F211">_xlfn.XLOOKUP($A211&amp;$B211,Лист2!$A:$A &amp; Лист2!$B:$B,Лист2!D:D)</f>
        <v>4840</v>
      </c>
      <c r="G211" s="7" cm="1">
        <f t="array" ref="G211">_xlfn.XLOOKUP($A211&amp;$B211,Лист2!$A:$A &amp; Лист2!$B:$B,Лист2!E:E)</f>
        <v>4475</v>
      </c>
      <c r="H211">
        <f t="shared" si="6"/>
        <v>164917.04999999999</v>
      </c>
      <c r="I211">
        <f t="shared" si="7"/>
        <v>22</v>
      </c>
    </row>
    <row r="212" spans="1:9" ht="14.25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 s="7" cm="1">
        <f t="array" ref="E212">_xlfn.XLOOKUP($A212&amp;$B212,Лист2!$A:$A &amp; Лист2!$B:$B,Лист2!C:C)</f>
        <v>21</v>
      </c>
      <c r="F212" s="7" cm="1">
        <f t="array" ref="F212">_xlfn.XLOOKUP($A212&amp;$B212,Лист2!$A:$A &amp; Лист2!$B:$B,Лист2!D:D)</f>
        <v>2330</v>
      </c>
      <c r="G212" s="7" cm="1">
        <f t="array" ref="G212">_xlfn.XLOOKUP($A212&amp;$B212,Лист2!$A:$A &amp; Лист2!$B:$B,Лист2!E:E)</f>
        <v>2142</v>
      </c>
      <c r="H212">
        <f t="shared" si="6"/>
        <v>169602.64</v>
      </c>
      <c r="I212">
        <f t="shared" si="7"/>
        <v>22</v>
      </c>
    </row>
    <row r="213" spans="1:9" ht="14.25" customHeight="1" x14ac:dyDescent="0.25">
      <c r="A213" s="8">
        <v>43951</v>
      </c>
      <c r="B213" s="9" t="s">
        <v>17</v>
      </c>
      <c r="C213" s="9">
        <v>31231.5</v>
      </c>
      <c r="D213" s="9">
        <v>2853310.5</v>
      </c>
      <c r="E213" s="7" cm="1">
        <f t="array" ref="E213">_xlfn.XLOOKUP($A213&amp;$B213,Лист2!$A:$A &amp; Лист2!$B:$B,Лист2!C:C)</f>
        <v>20</v>
      </c>
      <c r="F213" s="7" cm="1">
        <f t="array" ref="F213">_xlfn.XLOOKUP($A213&amp;$B213,Лист2!$A:$A &amp; Лист2!$B:$B,Лист2!D:D)</f>
        <v>1756</v>
      </c>
      <c r="G213" s="7" cm="1">
        <f t="array" ref="G213">_xlfn.XLOOKUP($A213&amp;$B213,Лист2!$A:$A &amp; Лист2!$B:$B,Лист2!E:E)</f>
        <v>1586</v>
      </c>
      <c r="H213">
        <f t="shared" si="6"/>
        <v>142665.53</v>
      </c>
      <c r="I213">
        <f t="shared" si="7"/>
        <v>18</v>
      </c>
    </row>
    <row r="214" spans="1:9" ht="14.25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 s="7" cm="1">
        <f t="array" ref="E214">_xlfn.XLOOKUP($A214&amp;$B214,Лист2!$A:$A &amp; Лист2!$B:$B,Лист2!C:C)</f>
        <v>21</v>
      </c>
      <c r="F214" s="7" cm="1">
        <f t="array" ref="F214">_xlfn.XLOOKUP($A214&amp;$B214,Лист2!$A:$A &amp; Лист2!$B:$B,Лист2!D:D)</f>
        <v>2120</v>
      </c>
      <c r="G214" s="7" cm="1">
        <f t="array" ref="G214">_xlfn.XLOOKUP($A214&amp;$B214,Лист2!$A:$A &amp; Лист2!$B:$B,Лист2!E:E)</f>
        <v>1921</v>
      </c>
      <c r="H214">
        <f t="shared" si="6"/>
        <v>169004.64</v>
      </c>
      <c r="I214">
        <f t="shared" si="7"/>
        <v>19</v>
      </c>
    </row>
    <row r="215" spans="1:9" ht="14.25" customHeight="1" x14ac:dyDescent="0.25">
      <c r="A215" s="8">
        <v>43959</v>
      </c>
      <c r="B215" s="9" t="s">
        <v>17</v>
      </c>
      <c r="C215" s="9">
        <v>34399.5</v>
      </c>
      <c r="D215" s="9">
        <v>3201358.5</v>
      </c>
      <c r="E215" s="7" cm="1">
        <f t="array" ref="E215">_xlfn.XLOOKUP($A215&amp;$B215,Лист2!$A:$A &amp; Лист2!$B:$B,Лист2!C:C)</f>
        <v>21</v>
      </c>
      <c r="F215" s="7" cm="1">
        <f t="array" ref="F215">_xlfn.XLOOKUP($A215&amp;$B215,Лист2!$A:$A &amp; Лист2!$B:$B,Лист2!D:D)</f>
        <v>1957</v>
      </c>
      <c r="G215" s="7" cm="1">
        <f t="array" ref="G215">_xlfn.XLOOKUP($A215&amp;$B215,Лист2!$A:$A &amp; Лист2!$B:$B,Лист2!E:E)</f>
        <v>1755</v>
      </c>
      <c r="H215">
        <f t="shared" si="6"/>
        <v>152445.64000000001</v>
      </c>
      <c r="I215">
        <f t="shared" si="7"/>
        <v>19</v>
      </c>
    </row>
    <row r="216" spans="1:9" ht="14.25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 s="7" cm="1">
        <f t="array" ref="E216">_xlfn.XLOOKUP($A216&amp;$B216,Лист2!$A:$A &amp; Лист2!$B:$B,Лист2!C:C)</f>
        <v>21</v>
      </c>
      <c r="F216" s="7" cm="1">
        <f t="array" ref="F216">_xlfn.XLOOKUP($A216&amp;$B216,Лист2!$A:$A &amp; Лист2!$B:$B,Лист2!D:D)</f>
        <v>1879</v>
      </c>
      <c r="G216" s="7" cm="1">
        <f t="array" ref="G216">_xlfn.XLOOKUP($A216&amp;$B216,Лист2!$A:$A &amp; Лист2!$B:$B,Лист2!E:E)</f>
        <v>1695</v>
      </c>
      <c r="H216">
        <f t="shared" si="6"/>
        <v>139738.29</v>
      </c>
      <c r="I216">
        <f t="shared" si="7"/>
        <v>19</v>
      </c>
    </row>
    <row r="217" spans="1:9" ht="14.25" customHeight="1" x14ac:dyDescent="0.25">
      <c r="A217" s="8">
        <v>43975</v>
      </c>
      <c r="B217" s="9" t="s">
        <v>17</v>
      </c>
      <c r="C217" s="9">
        <v>38194.5</v>
      </c>
      <c r="D217" s="9">
        <v>3449302.5</v>
      </c>
      <c r="E217" s="7" cm="1">
        <f t="array" ref="E217">_xlfn.XLOOKUP($A217&amp;$B217,Лист2!$A:$A &amp; Лист2!$B:$B,Лист2!C:C)</f>
        <v>21</v>
      </c>
      <c r="F217" s="7" cm="1">
        <f t="array" ref="F217">_xlfn.XLOOKUP($A217&amp;$B217,Лист2!$A:$A &amp; Лист2!$B:$B,Лист2!D:D)</f>
        <v>2254</v>
      </c>
      <c r="G217" s="7" cm="1">
        <f t="array" ref="G217">_xlfn.XLOOKUP($A217&amp;$B217,Лист2!$A:$A &amp; Лист2!$B:$B,Лист2!E:E)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 s="7" cm="1">
        <f t="array" ref="E218">_xlfn.XLOOKUP($A218&amp;$B218,Лист2!$A:$A &amp; Лист2!$B:$B,Лист2!C:C)</f>
        <v>23</v>
      </c>
      <c r="F218" s="7" cm="1">
        <f t="array" ref="F218">_xlfn.XLOOKUP($A218&amp;$B218,Лист2!$A:$A &amp; Лист2!$B:$B,Лист2!D:D)</f>
        <v>2522</v>
      </c>
      <c r="G218" s="7" cm="1">
        <f t="array" ref="G218">_xlfn.XLOOKUP($A218&amp;$B218,Лист2!$A:$A &amp; Лист2!$B:$B,Лист2!E:E)</f>
        <v>2295</v>
      </c>
      <c r="H218">
        <f t="shared" si="6"/>
        <v>173658.85</v>
      </c>
      <c r="I218">
        <f t="shared" si="7"/>
        <v>22</v>
      </c>
    </row>
    <row r="219" spans="1:9" ht="14.25" customHeight="1" x14ac:dyDescent="0.25">
      <c r="A219" s="8">
        <v>43981</v>
      </c>
      <c r="B219" s="9" t="s">
        <v>17</v>
      </c>
      <c r="C219" s="9">
        <v>48286.5</v>
      </c>
      <c r="D219" s="9">
        <v>4456441.5</v>
      </c>
      <c r="E219" s="7" cm="1">
        <f t="array" ref="E219">_xlfn.XLOOKUP($A219&amp;$B219,Лист2!$A:$A &amp; Лист2!$B:$B,Лист2!C:C)</f>
        <v>22</v>
      </c>
      <c r="F219" s="7" cm="1">
        <f t="array" ref="F219">_xlfn.XLOOKUP($A219&amp;$B219,Лист2!$A:$A &amp; Лист2!$B:$B,Лист2!D:D)</f>
        <v>2793</v>
      </c>
      <c r="G219" s="7" cm="1">
        <f t="array" ref="G219">_xlfn.XLOOKUP($A219&amp;$B219,Лист2!$A:$A &amp; Лист2!$B:$B,Лист2!E:E)</f>
        <v>2539</v>
      </c>
      <c r="H219">
        <f t="shared" si="6"/>
        <v>202565.52</v>
      </c>
      <c r="I219">
        <f t="shared" si="7"/>
        <v>22</v>
      </c>
    </row>
    <row r="220" spans="1:9" ht="14.25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 s="7" cm="1">
        <f t="array" ref="E220">_xlfn.XLOOKUP($A220&amp;$B220,Лист2!$A:$A &amp; Лист2!$B:$B,Лист2!C:C)</f>
        <v>22</v>
      </c>
      <c r="F220" s="7" cm="1">
        <f t="array" ref="F220">_xlfn.XLOOKUP($A220&amp;$B220,Лист2!$A:$A &amp; Лист2!$B:$B,Лист2!D:D)</f>
        <v>2454</v>
      </c>
      <c r="G220" s="7" cm="1">
        <f t="array" ref="G220">_xlfn.XLOOKUP($A220&amp;$B220,Лист2!$A:$A &amp; Лист2!$B:$B,Лист2!E:E)</f>
        <v>2239</v>
      </c>
      <c r="H220">
        <f t="shared" si="6"/>
        <v>176985.48</v>
      </c>
      <c r="I220">
        <f t="shared" si="7"/>
        <v>22</v>
      </c>
    </row>
    <row r="221" spans="1:9" ht="14.25" customHeight="1" x14ac:dyDescent="0.25">
      <c r="A221" s="8">
        <v>43967</v>
      </c>
      <c r="B221" s="9" t="s">
        <v>18</v>
      </c>
      <c r="C221" s="9">
        <v>18600</v>
      </c>
      <c r="D221" s="9">
        <v>1601425.5</v>
      </c>
      <c r="E221" s="7" cm="1">
        <f t="array" ref="E221">_xlfn.XLOOKUP($A221&amp;$B221,Лист2!$A:$A &amp; Лист2!$B:$B,Лист2!C:C)</f>
        <v>15</v>
      </c>
      <c r="F221" s="7" cm="1">
        <f t="array" ref="F221">_xlfn.XLOOKUP($A221&amp;$B221,Лист2!$A:$A &amp; Лист2!$B:$B,Лист2!D:D)</f>
        <v>1111</v>
      </c>
      <c r="G221" s="7" cm="1">
        <f t="array" ref="G221">_xlfn.XLOOKUP($A221&amp;$B221,Лист2!$A:$A &amp; Лист2!$B:$B,Лист2!E:E)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 s="7" cm="1">
        <f t="array" ref="E222">_xlfn.XLOOKUP($A222&amp;$B222,Лист2!$A:$A &amp; Лист2!$B:$B,Лист2!C:C)</f>
        <v>16</v>
      </c>
      <c r="F222" s="7" cm="1">
        <f t="array" ref="F222">_xlfn.XLOOKUP($A222&amp;$B222,Лист2!$A:$A &amp; Лист2!$B:$B,Лист2!D:D)</f>
        <v>1012</v>
      </c>
      <c r="G222" s="7" cm="1">
        <f t="array" ref="G222">_xlfn.XLOOKUP($A222&amp;$B222,Лист2!$A:$A &amp; Лист2!$B:$B,Лист2!E:E)</f>
        <v>900</v>
      </c>
      <c r="H222">
        <f t="shared" si="6"/>
        <v>85302.94</v>
      </c>
      <c r="I222">
        <f t="shared" si="7"/>
        <v>21</v>
      </c>
    </row>
    <row r="223" spans="1:9" ht="14.25" customHeight="1" x14ac:dyDescent="0.25">
      <c r="A223" s="8">
        <v>43968</v>
      </c>
      <c r="B223" s="9" t="s">
        <v>18</v>
      </c>
      <c r="C223" s="9">
        <v>15609</v>
      </c>
      <c r="D223" s="9">
        <v>1377577.5</v>
      </c>
      <c r="E223" s="7" cm="1">
        <f t="array" ref="E223">_xlfn.XLOOKUP($A223&amp;$B223,Лист2!$A:$A &amp; Лист2!$B:$B,Лист2!C:C)</f>
        <v>15</v>
      </c>
      <c r="F223" s="7" cm="1">
        <f t="array" ref="F223">_xlfn.XLOOKUP($A223&amp;$B223,Лист2!$A:$A &amp; Лист2!$B:$B,Лист2!D:D)</f>
        <v>971</v>
      </c>
      <c r="G223" s="7" cm="1">
        <f t="array" ref="G223">_xlfn.XLOOKUP($A223&amp;$B223,Лист2!$A:$A &amp; Лист2!$B:$B,Лист2!E:E)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 s="7" cm="1">
        <f t="array" ref="E224">_xlfn.XLOOKUP($A224&amp;$B224,Лист2!$A:$A &amp; Лист2!$B:$B,Лист2!C:C)</f>
        <v>15</v>
      </c>
      <c r="F224" s="7" cm="1">
        <f t="array" ref="F224">_xlfn.XLOOKUP($A224&amp;$B224,Лист2!$A:$A &amp; Лист2!$B:$B,Лист2!D:D)</f>
        <v>849</v>
      </c>
      <c r="G224" s="7" cm="1">
        <f t="array" ref="G224">_xlfn.XLOOKUP($A224&amp;$B224,Лист2!$A:$A &amp; Лист2!$B:$B,Лист2!E:E)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25">
      <c r="A225" s="8">
        <v>43955</v>
      </c>
      <c r="B225" s="9" t="s">
        <v>18</v>
      </c>
      <c r="C225" s="9">
        <v>12301.5</v>
      </c>
      <c r="D225" s="9">
        <v>1085211</v>
      </c>
      <c r="E225" s="7" cm="1">
        <f t="array" ref="E225">_xlfn.XLOOKUP($A225&amp;$B225,Лист2!$A:$A &amp; Лист2!$B:$B,Лист2!C:C)</f>
        <v>15</v>
      </c>
      <c r="F225" s="7" cm="1">
        <f t="array" ref="F225">_xlfn.XLOOKUP($A225&amp;$B225,Лист2!$A:$A &amp; Лист2!$B:$B,Лист2!D:D)</f>
        <v>750</v>
      </c>
      <c r="G225" s="7" cm="1">
        <f t="array" ref="G225">_xlfn.XLOOKUP($A225&amp;$B225,Лист2!$A:$A &amp; Лист2!$B:$B,Лист2!E:E)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 s="7" cm="1">
        <f t="array" ref="E226">_xlfn.XLOOKUP($A226&amp;$B226,Лист2!$A:$A &amp; Лист2!$B:$B,Лист2!C:C)</f>
        <v>15</v>
      </c>
      <c r="F226" s="7" cm="1">
        <f t="array" ref="F226">_xlfn.XLOOKUP($A226&amp;$B226,Лист2!$A:$A &amp; Лист2!$B:$B,Лист2!D:D)</f>
        <v>786</v>
      </c>
      <c r="G226" s="7" cm="1">
        <f t="array" ref="G226">_xlfn.XLOOKUP($A226&amp;$B226,Лист2!$A:$A &amp; Лист2!$B:$B,Лист2!E:E)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25">
      <c r="A227" s="8">
        <v>43953</v>
      </c>
      <c r="B227" s="9" t="s">
        <v>18</v>
      </c>
      <c r="C227" s="9">
        <v>12313.5</v>
      </c>
      <c r="D227" s="9">
        <v>1053220.5</v>
      </c>
      <c r="E227" s="7" cm="1">
        <f t="array" ref="E227">_xlfn.XLOOKUP($A227&amp;$B227,Лист2!$A:$A &amp; Лист2!$B:$B,Лист2!C:C)</f>
        <v>15</v>
      </c>
      <c r="F227" s="7" cm="1">
        <f t="array" ref="F227">_xlfn.XLOOKUP($A227&amp;$B227,Лист2!$A:$A &amp; Лист2!$B:$B,Лист2!D:D)</f>
        <v>751</v>
      </c>
      <c r="G227" s="7" cm="1">
        <f t="array" ref="G227">_xlfn.XLOOKUP($A227&amp;$B227,Лист2!$A:$A &amp; Лист2!$B:$B,Лист2!E:E)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 s="7" cm="1">
        <f t="array" ref="E228">_xlfn.XLOOKUP($A228&amp;$B228,Лист2!$A:$A &amp; Лист2!$B:$B,Лист2!C:C)</f>
        <v>17</v>
      </c>
      <c r="F228" s="7" cm="1">
        <f t="array" ref="F228">_xlfn.XLOOKUP($A228&amp;$B228,Лист2!$A:$A &amp; Лист2!$B:$B,Лист2!D:D)</f>
        <v>1140</v>
      </c>
      <c r="G228" s="7" cm="1">
        <f t="array" ref="G228">_xlfn.XLOOKUP($A228&amp;$B228,Лист2!$A:$A &amp; Лист2!$B:$B,Лист2!E:E)</f>
        <v>1016</v>
      </c>
      <c r="H228">
        <f t="shared" si="6"/>
        <v>87596.03</v>
      </c>
      <c r="I228">
        <f t="shared" si="7"/>
        <v>22</v>
      </c>
    </row>
    <row r="229" spans="1:9" ht="14.25" customHeight="1" x14ac:dyDescent="0.25">
      <c r="A229" s="8">
        <v>43952</v>
      </c>
      <c r="B229" s="9" t="s">
        <v>18</v>
      </c>
      <c r="C229" s="9">
        <v>17113.5</v>
      </c>
      <c r="D229" s="9">
        <v>1465842</v>
      </c>
      <c r="E229" s="7" cm="1">
        <f t="array" ref="E229">_xlfn.XLOOKUP($A229&amp;$B229,Лист2!$A:$A &amp; Лист2!$B:$B,Лист2!C:C)</f>
        <v>15</v>
      </c>
      <c r="F229" s="7" cm="1">
        <f t="array" ref="F229">_xlfn.XLOOKUP($A229&amp;$B229,Лист2!$A:$A &amp; Лист2!$B:$B,Лист2!D:D)</f>
        <v>996</v>
      </c>
      <c r="G229" s="7" cm="1">
        <f t="array" ref="G229">_xlfn.XLOOKUP($A229&amp;$B229,Лист2!$A:$A &amp; Лист2!$B:$B,Лист2!E:E)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 s="7" cm="1">
        <f t="array" ref="E230">_xlfn.XLOOKUP($A230&amp;$B230,Лист2!$A:$A &amp; Лист2!$B:$B,Лист2!C:C)</f>
        <v>15</v>
      </c>
      <c r="F230" s="7" cm="1">
        <f t="array" ref="F230">_xlfn.XLOOKUP($A230&amp;$B230,Лист2!$A:$A &amp; Лист2!$B:$B,Лист2!D:D)</f>
        <v>845</v>
      </c>
      <c r="G230" s="7" cm="1">
        <f t="array" ref="G230">_xlfn.XLOOKUP($A230&amp;$B230,Лист2!$A:$A &amp; Лист2!$B:$B,Лист2!E:E)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25">
      <c r="A231" s="8">
        <v>43972</v>
      </c>
      <c r="B231" s="9" t="s">
        <v>18</v>
      </c>
      <c r="C231" s="9">
        <v>16554</v>
      </c>
      <c r="D231" s="9">
        <v>1380751.5</v>
      </c>
      <c r="E231" s="7" cm="1">
        <f t="array" ref="E231">_xlfn.XLOOKUP($A231&amp;$B231,Лист2!$A:$A &amp; Лист2!$B:$B,Лист2!C:C)</f>
        <v>17</v>
      </c>
      <c r="F231" s="7" cm="1">
        <f t="array" ref="F231">_xlfn.XLOOKUP($A231&amp;$B231,Лист2!$A:$A &amp; Лист2!$B:$B,Лист2!D:D)</f>
        <v>1045</v>
      </c>
      <c r="G231" s="7" cm="1">
        <f t="array" ref="G231">_xlfn.XLOOKUP($A231&amp;$B231,Лист2!$A:$A &amp; Лист2!$B:$B,Лист2!E:E)</f>
        <v>930</v>
      </c>
      <c r="H231">
        <f t="shared" si="6"/>
        <v>81220.679999999993</v>
      </c>
      <c r="I231">
        <f t="shared" si="7"/>
        <v>21</v>
      </c>
    </row>
    <row r="232" spans="1:9" ht="14.25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 s="7" cm="1">
        <f t="array" ref="E232">_xlfn.XLOOKUP($A232&amp;$B232,Лист2!$A:$A &amp; Лист2!$B:$B,Лист2!C:C)</f>
        <v>16</v>
      </c>
      <c r="F232" s="7" cm="1">
        <f t="array" ref="F232">_xlfn.XLOOKUP($A232&amp;$B232,Лист2!$A:$A &amp; Лист2!$B:$B,Лист2!D:D)</f>
        <v>1050</v>
      </c>
      <c r="G232" s="7" cm="1">
        <f t="array" ref="G232">_xlfn.XLOOKUP($A232&amp;$B232,Лист2!$A:$A &amp; Лист2!$B:$B,Лист2!E:E)</f>
        <v>938</v>
      </c>
      <c r="H232">
        <f t="shared" si="6"/>
        <v>89390.91</v>
      </c>
      <c r="I232">
        <f t="shared" si="7"/>
        <v>21</v>
      </c>
    </row>
    <row r="233" spans="1:9" ht="14.25" customHeight="1" x14ac:dyDescent="0.25">
      <c r="A233" s="8">
        <v>43956</v>
      </c>
      <c r="B233" s="9" t="s">
        <v>18</v>
      </c>
      <c r="C233" s="9">
        <v>15987</v>
      </c>
      <c r="D233" s="9">
        <v>1384179</v>
      </c>
      <c r="E233" s="7" cm="1">
        <f t="array" ref="E233">_xlfn.XLOOKUP($A233&amp;$B233,Лист2!$A:$A &amp; Лист2!$B:$B,Лист2!C:C)</f>
        <v>15</v>
      </c>
      <c r="F233" s="7" cm="1">
        <f t="array" ref="F233">_xlfn.XLOOKUP($A233&amp;$B233,Лист2!$A:$A &amp; Лист2!$B:$B,Лист2!D:D)</f>
        <v>922</v>
      </c>
      <c r="G233" s="7" cm="1">
        <f t="array" ref="G233">_xlfn.XLOOKUP($A233&amp;$B233,Лист2!$A:$A &amp; Лист2!$B:$B,Лист2!E:E)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 s="7" cm="1">
        <f t="array" ref="E234">_xlfn.XLOOKUP($A234&amp;$B234,Лист2!$A:$A &amp; Лист2!$B:$B,Лист2!C:C)</f>
        <v>15</v>
      </c>
      <c r="F234" s="7" cm="1">
        <f t="array" ref="F234">_xlfn.XLOOKUP($A234&amp;$B234,Лист2!$A:$A &amp; Лист2!$B:$B,Лист2!D:D)</f>
        <v>780</v>
      </c>
      <c r="G234" s="7" cm="1">
        <f t="array" ref="G234">_xlfn.XLOOKUP($A234&amp;$B234,Лист2!$A:$A &amp; Лист2!$B:$B,Лист2!E:E)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25">
      <c r="A235" s="8">
        <v>43964</v>
      </c>
      <c r="B235" s="9" t="s">
        <v>18</v>
      </c>
      <c r="C235" s="9">
        <v>14305.5</v>
      </c>
      <c r="D235" s="9">
        <v>1243507.5</v>
      </c>
      <c r="E235" s="7" cm="1">
        <f t="array" ref="E235">_xlfn.XLOOKUP($A235&amp;$B235,Лист2!$A:$A &amp; Лист2!$B:$B,Лист2!C:C)</f>
        <v>15</v>
      </c>
      <c r="F235" s="7" cm="1">
        <f t="array" ref="F235">_xlfn.XLOOKUP($A235&amp;$B235,Лист2!$A:$A &amp; Лист2!$B:$B,Лист2!D:D)</f>
        <v>898</v>
      </c>
      <c r="G235" s="7" cm="1">
        <f t="array" ref="G235">_xlfn.XLOOKUP($A235&amp;$B235,Лист2!$A:$A &amp; Лист2!$B:$B,Лист2!E:E)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 s="7" cm="1">
        <f t="array" ref="E236">_xlfn.XLOOKUP($A236&amp;$B236,Лист2!$A:$A &amp; Лист2!$B:$B,Лист2!C:C)</f>
        <v>15</v>
      </c>
      <c r="F236" s="7" cm="1">
        <f t="array" ref="F236">_xlfn.XLOOKUP($A236&amp;$B236,Лист2!$A:$A &amp; Лист2!$B:$B,Лист2!D:D)</f>
        <v>784</v>
      </c>
      <c r="G236" s="7" cm="1">
        <f t="array" ref="G236">_xlfn.XLOOKUP($A236&amp;$B236,Лист2!$A:$A &amp; Лист2!$B:$B,Лист2!E:E)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25">
      <c r="A237" s="8">
        <v>43957</v>
      </c>
      <c r="B237" s="9" t="s">
        <v>18</v>
      </c>
      <c r="C237" s="9">
        <v>14061</v>
      </c>
      <c r="D237" s="9">
        <v>1221057</v>
      </c>
      <c r="E237" s="7" cm="1">
        <f t="array" ref="E237">_xlfn.XLOOKUP($A237&amp;$B237,Лист2!$A:$A &amp; Лист2!$B:$B,Лист2!C:C)</f>
        <v>15</v>
      </c>
      <c r="F237" s="7" cm="1">
        <f t="array" ref="F237">_xlfn.XLOOKUP($A237&amp;$B237,Лист2!$A:$A &amp; Лист2!$B:$B,Лист2!D:D)</f>
        <v>839</v>
      </c>
      <c r="G237" s="7" cm="1">
        <f t="array" ref="G237">_xlfn.XLOOKUP($A237&amp;$B237,Лист2!$A:$A &amp; Лист2!$B:$B,Лист2!E:E)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 s="7" cm="1">
        <f t="array" ref="E238">_xlfn.XLOOKUP($A238&amp;$B238,Лист2!$A:$A &amp; Лист2!$B:$B,Лист2!C:C)</f>
        <v>17</v>
      </c>
      <c r="F238" s="7" cm="1">
        <f t="array" ref="F238">_xlfn.XLOOKUP($A238&amp;$B238,Лист2!$A:$A &amp; Лист2!$B:$B,Лист2!D:D)</f>
        <v>1294</v>
      </c>
      <c r="G238" s="7" cm="1">
        <f t="array" ref="G238">_xlfn.XLOOKUP($A238&amp;$B238,Лист2!$A:$A &amp; Лист2!$B:$B,Лист2!E:E)</f>
        <v>1155</v>
      </c>
      <c r="H238">
        <f t="shared" si="6"/>
        <v>109058.91</v>
      </c>
      <c r="I238">
        <f t="shared" si="7"/>
        <v>21</v>
      </c>
    </row>
    <row r="239" spans="1:9" ht="14.25" customHeight="1" x14ac:dyDescent="0.25">
      <c r="A239" s="8">
        <v>43976</v>
      </c>
      <c r="B239" s="9" t="s">
        <v>18</v>
      </c>
      <c r="C239" s="9">
        <v>17211</v>
      </c>
      <c r="D239" s="9">
        <v>1507867.5</v>
      </c>
      <c r="E239" s="7" cm="1">
        <f t="array" ref="E239">_xlfn.XLOOKUP($A239&amp;$B239,Лист2!$A:$A &amp; Лист2!$B:$B,Лист2!C:C)</f>
        <v>17</v>
      </c>
      <c r="F239" s="7" cm="1">
        <f t="array" ref="F239">_xlfn.XLOOKUP($A239&amp;$B239,Лист2!$A:$A &amp; Лист2!$B:$B,Лист2!D:D)</f>
        <v>1142</v>
      </c>
      <c r="G239" s="7" cm="1">
        <f t="array" ref="G239">_xlfn.XLOOKUP($A239&amp;$B239,Лист2!$A:$A &amp; Лист2!$B:$B,Лист2!E:E)</f>
        <v>1020</v>
      </c>
      <c r="H239">
        <f t="shared" si="6"/>
        <v>88698.09</v>
      </c>
      <c r="I239">
        <f t="shared" si="7"/>
        <v>22</v>
      </c>
    </row>
    <row r="240" spans="1:9" ht="14.25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 s="7" cm="1">
        <f t="array" ref="E240">_xlfn.XLOOKUP($A240&amp;$B240,Лист2!$A:$A &amp; Лист2!$B:$B,Лист2!C:C)</f>
        <v>15</v>
      </c>
      <c r="F240" s="7" cm="1">
        <f t="array" ref="F240">_xlfn.XLOOKUP($A240&amp;$B240,Лист2!$A:$A &amp; Лист2!$B:$B,Лист2!D:D)</f>
        <v>791</v>
      </c>
      <c r="G240" s="7" cm="1">
        <f t="array" ref="G240">_xlfn.XLOOKUP($A240&amp;$B240,Лист2!$A:$A &amp; Лист2!$B:$B,Лист2!E:E)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25">
      <c r="A241" s="8">
        <v>43961</v>
      </c>
      <c r="B241" s="9" t="s">
        <v>18</v>
      </c>
      <c r="C241" s="9">
        <v>16435.5</v>
      </c>
      <c r="D241" s="9">
        <v>1471537.5</v>
      </c>
      <c r="E241" s="7" cm="1">
        <f t="array" ref="E241">_xlfn.XLOOKUP($A241&amp;$B241,Лист2!$A:$A &amp; Лист2!$B:$B,Лист2!C:C)</f>
        <v>15</v>
      </c>
      <c r="F241" s="7" cm="1">
        <f t="array" ref="F241">_xlfn.XLOOKUP($A241&amp;$B241,Лист2!$A:$A &amp; Лист2!$B:$B,Лист2!D:D)</f>
        <v>950</v>
      </c>
      <c r="G241" s="7" cm="1">
        <f t="array" ref="G241">_xlfn.XLOOKUP($A241&amp;$B241,Лист2!$A:$A &amp; Лист2!$B:$B,Лист2!E:E)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 s="7" cm="1">
        <f t="array" ref="E242">_xlfn.XLOOKUP($A242&amp;$B242,Лист2!$A:$A &amp; Лист2!$B:$B,Лист2!C:C)</f>
        <v>15</v>
      </c>
      <c r="F242" s="7" cm="1">
        <f t="array" ref="F242">_xlfn.XLOOKUP($A242&amp;$B242,Лист2!$A:$A &amp; Лист2!$B:$B,Лист2!D:D)</f>
        <v>879</v>
      </c>
      <c r="G242" s="7" cm="1">
        <f t="array" ref="G242">_xlfn.XLOOKUP($A242&amp;$B242,Лист2!$A:$A &amp; Лист2!$B:$B,Лист2!E:E)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25">
      <c r="A243" s="8">
        <v>43958</v>
      </c>
      <c r="B243" s="9" t="s">
        <v>18</v>
      </c>
      <c r="C243" s="9">
        <v>12705</v>
      </c>
      <c r="D243" s="9">
        <v>1123894.5</v>
      </c>
      <c r="E243" s="7" cm="1">
        <f t="array" ref="E243">_xlfn.XLOOKUP($A243&amp;$B243,Лист2!$A:$A &amp; Лист2!$B:$B,Лист2!C:C)</f>
        <v>15</v>
      </c>
      <c r="F243" s="7" cm="1">
        <f t="array" ref="F243">_xlfn.XLOOKUP($A243&amp;$B243,Лист2!$A:$A &amp; Лист2!$B:$B,Лист2!D:D)</f>
        <v>805</v>
      </c>
      <c r="G243" s="7" cm="1">
        <f t="array" ref="G243">_xlfn.XLOOKUP($A243&amp;$B243,Лист2!$A:$A &amp; Лист2!$B:$B,Лист2!E:E)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 s="7" cm="1">
        <f t="array" ref="E244">_xlfn.XLOOKUP($A244&amp;$B244,Лист2!$A:$A &amp; Лист2!$B:$B,Лист2!C:C)</f>
        <v>17</v>
      </c>
      <c r="F244" s="7" cm="1">
        <f t="array" ref="F244">_xlfn.XLOOKUP($A244&amp;$B244,Лист2!$A:$A &amp; Лист2!$B:$B,Лист2!D:D)</f>
        <v>1128</v>
      </c>
      <c r="G244" s="7" cm="1">
        <f t="array" ref="G244">_xlfn.XLOOKUP($A244&amp;$B244,Лист2!$A:$A &amp; Лист2!$B:$B,Лист2!E:E)</f>
        <v>1001</v>
      </c>
      <c r="H244">
        <f t="shared" si="6"/>
        <v>91064.65</v>
      </c>
      <c r="I244">
        <f t="shared" si="7"/>
        <v>21</v>
      </c>
    </row>
    <row r="245" spans="1:9" ht="14.25" customHeight="1" x14ac:dyDescent="0.25">
      <c r="A245" s="8">
        <v>43967</v>
      </c>
      <c r="B245" s="9" t="s">
        <v>19</v>
      </c>
      <c r="C245" s="9">
        <v>13120.5</v>
      </c>
      <c r="D245" s="9">
        <v>1215033</v>
      </c>
      <c r="E245" s="7" cm="1">
        <f t="array" ref="E245">_xlfn.XLOOKUP($A245&amp;$B245,Лист2!$A:$A &amp; Лист2!$B:$B,Лист2!C:C)</f>
        <v>15</v>
      </c>
      <c r="F245" s="7" cm="1">
        <f t="array" ref="F245">_xlfn.XLOOKUP($A245&amp;$B245,Лист2!$A:$A &amp; Лист2!$B:$B,Лист2!D:D)</f>
        <v>747</v>
      </c>
      <c r="G245" s="7" cm="1">
        <f t="array" ref="G245">_xlfn.XLOOKUP($A245&amp;$B245,Лист2!$A:$A &amp; Лист2!$B:$B,Лист2!E:E)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 s="7" cm="1">
        <f t="array" ref="E246">_xlfn.XLOOKUP($A246&amp;$B246,Лист2!$A:$A &amp; Лист2!$B:$B,Лист2!C:C)</f>
        <v>15</v>
      </c>
      <c r="F246" s="7" cm="1">
        <f t="array" ref="F246">_xlfn.XLOOKUP($A246&amp;$B246,Лист2!$A:$A &amp; Лист2!$B:$B,Лист2!D:D)</f>
        <v>930</v>
      </c>
      <c r="G246" s="7" cm="1">
        <f t="array" ref="G246">_xlfn.XLOOKUP($A246&amp;$B246,Лист2!$A:$A &amp; Лист2!$B:$B,Лист2!E:E)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25">
      <c r="A247" s="8">
        <v>43968</v>
      </c>
      <c r="B247" s="9" t="s">
        <v>19</v>
      </c>
      <c r="C247" s="9">
        <v>11967</v>
      </c>
      <c r="D247" s="9">
        <v>1060489.5</v>
      </c>
      <c r="E247" s="7" cm="1">
        <f t="array" ref="E247">_xlfn.XLOOKUP($A247&amp;$B247,Лист2!$A:$A &amp; Лист2!$B:$B,Лист2!C:C)</f>
        <v>15</v>
      </c>
      <c r="F247" s="7" cm="1">
        <f t="array" ref="F247">_xlfn.XLOOKUP($A247&amp;$B247,Лист2!$A:$A &amp; Лист2!$B:$B,Лист2!D:D)</f>
        <v>692</v>
      </c>
      <c r="G247" s="7" cm="1">
        <f t="array" ref="G247">_xlfn.XLOOKUP($A247&amp;$B247,Лист2!$A:$A &amp; Лист2!$B:$B,Лист2!E:E)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 s="7" cm="1">
        <f t="array" ref="E248">_xlfn.XLOOKUP($A248&amp;$B248,Лист2!$A:$A &amp; Лист2!$B:$B,Лист2!C:C)</f>
        <v>15</v>
      </c>
      <c r="F248" s="7" cm="1">
        <f t="array" ref="F248">_xlfn.XLOOKUP($A248&amp;$B248,Лист2!$A:$A &amp; Лист2!$B:$B,Лист2!D:D)</f>
        <v>623</v>
      </c>
      <c r="G248" s="7" cm="1">
        <f t="array" ref="G248">_xlfn.XLOOKUP($A248&amp;$B248,Лист2!$A:$A &amp; Лист2!$B:$B,Лист2!E:E)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25">
      <c r="A249" s="8">
        <v>43955</v>
      </c>
      <c r="B249" s="9" t="s">
        <v>19</v>
      </c>
      <c r="C249" s="9">
        <v>7087.5</v>
      </c>
      <c r="D249" s="9">
        <v>610855.5</v>
      </c>
      <c r="E249" s="7" cm="1">
        <f t="array" ref="E249">_xlfn.XLOOKUP($A249&amp;$B249,Лист2!$A:$A &amp; Лист2!$B:$B,Лист2!C:C)</f>
        <v>15</v>
      </c>
      <c r="F249" s="7" cm="1">
        <f t="array" ref="F249">_xlfn.XLOOKUP($A249&amp;$B249,Лист2!$A:$A &amp; Лист2!$B:$B,Лист2!D:D)</f>
        <v>390</v>
      </c>
      <c r="G249" s="7" cm="1">
        <f t="array" ref="G249">_xlfn.XLOOKUP($A249&amp;$B249,Лист2!$A:$A &amp; Лист2!$B:$B,Лист2!E:E)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 s="7" cm="1">
        <f t="array" ref="E250">_xlfn.XLOOKUP($A250&amp;$B250,Лист2!$A:$A &amp; Лист2!$B:$B,Лист2!C:C)</f>
        <v>18</v>
      </c>
      <c r="F250" s="7" cm="1">
        <f t="array" ref="F250">_xlfn.XLOOKUP($A250&amp;$B250,Лист2!$A:$A &amp; Лист2!$B:$B,Лист2!D:D)</f>
        <v>1599</v>
      </c>
      <c r="G250" s="7" cm="1">
        <f t="array" ref="G250">_xlfn.XLOOKUP($A250&amp;$B250,Лист2!$A:$A &amp; Лист2!$B:$B,Лист2!E:E)</f>
        <v>1450</v>
      </c>
      <c r="H250">
        <f t="shared" si="6"/>
        <v>131161.92000000001</v>
      </c>
      <c r="I250">
        <f t="shared" si="7"/>
        <v>18</v>
      </c>
    </row>
    <row r="251" spans="1:9" ht="14.25" customHeight="1" x14ac:dyDescent="0.25">
      <c r="A251" s="8">
        <v>43953</v>
      </c>
      <c r="B251" s="9" t="s">
        <v>19</v>
      </c>
      <c r="C251" s="9">
        <v>4624.5</v>
      </c>
      <c r="D251" s="9">
        <v>433243.5</v>
      </c>
      <c r="E251" s="7" cm="1">
        <f t="array" ref="E251">_xlfn.XLOOKUP($A251&amp;$B251,Лист2!$A:$A &amp; Лист2!$B:$B,Лист2!C:C)</f>
        <v>15</v>
      </c>
      <c r="F251" s="7" cm="1">
        <f t="array" ref="F251">_xlfn.XLOOKUP($A251&amp;$B251,Лист2!$A:$A &amp; Лист2!$B:$B,Лист2!D:D)</f>
        <v>274</v>
      </c>
      <c r="G251" s="7" cm="1">
        <f t="array" ref="G251">_xlfn.XLOOKUP($A251&amp;$B251,Лист2!$A:$A &amp; Лист2!$B:$B,Лист2!E:E)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 s="7" cm="1">
        <f t="array" ref="E252">_xlfn.XLOOKUP($A252&amp;$B252,Лист2!$A:$A &amp; Лист2!$B:$B,Лист2!C:C)</f>
        <v>15</v>
      </c>
      <c r="F252" s="7" cm="1">
        <f t="array" ref="F252">_xlfn.XLOOKUP($A252&amp;$B252,Лист2!$A:$A &amp; Лист2!$B:$B,Лист2!D:D)</f>
        <v>812</v>
      </c>
      <c r="G252" s="7" cm="1">
        <f t="array" ref="G252">_xlfn.XLOOKUP($A252&amp;$B252,Лист2!$A:$A &amp; Лист2!$B:$B,Лист2!E:E)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25">
      <c r="A253" s="8">
        <v>43952</v>
      </c>
      <c r="B253" s="9" t="s">
        <v>19</v>
      </c>
      <c r="C253" s="9">
        <v>5446.5</v>
      </c>
      <c r="D253" s="9">
        <v>505572</v>
      </c>
      <c r="E253" s="7" cm="1">
        <f t="array" ref="E253">_xlfn.XLOOKUP($A253&amp;$B253,Лист2!$A:$A &amp; Лист2!$B:$B,Лист2!C:C)</f>
        <v>15</v>
      </c>
      <c r="F253" s="7" cm="1">
        <f t="array" ref="F253">_xlfn.XLOOKUP($A253&amp;$B253,Лист2!$A:$A &amp; Лист2!$B:$B,Лист2!D:D)</f>
        <v>294</v>
      </c>
      <c r="G253" s="7" cm="1">
        <f t="array" ref="G253">_xlfn.XLOOKUP($A253&amp;$B253,Лист2!$A:$A &amp; Лист2!$B:$B,Лист2!E:E)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 s="7" cm="1">
        <f t="array" ref="E254">_xlfn.XLOOKUP($A254&amp;$B254,Лист2!$A:$A &amp; Лист2!$B:$B,Лист2!C:C)</f>
        <v>15</v>
      </c>
      <c r="F254" s="7" cm="1">
        <f t="array" ref="F254">_xlfn.XLOOKUP($A254&amp;$B254,Лист2!$A:$A &amp; Лист2!$B:$B,Лист2!D:D)</f>
        <v>624</v>
      </c>
      <c r="G254" s="7" cm="1">
        <f t="array" ref="G254">_xlfn.XLOOKUP($A254&amp;$B254,Лист2!$A:$A &amp; Лист2!$B:$B,Лист2!E:E)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25">
      <c r="A255" s="8">
        <v>43972</v>
      </c>
      <c r="B255" s="9" t="s">
        <v>19</v>
      </c>
      <c r="C255" s="9">
        <v>12135</v>
      </c>
      <c r="D255" s="9">
        <v>1103623.5</v>
      </c>
      <c r="E255" s="7" cm="1">
        <f t="array" ref="E255">_xlfn.XLOOKUP($A255&amp;$B255,Лист2!$A:$A &amp; Лист2!$B:$B,Лист2!C:C)</f>
        <v>15</v>
      </c>
      <c r="F255" s="7" cm="1">
        <f t="array" ref="F255">_xlfn.XLOOKUP($A255&amp;$B255,Лист2!$A:$A &amp; Лист2!$B:$B,Лист2!D:D)</f>
        <v>749</v>
      </c>
      <c r="G255" s="7" cm="1">
        <f t="array" ref="G255">_xlfn.XLOOKUP($A255&amp;$B255,Лист2!$A:$A &amp; Лист2!$B:$B,Лист2!E:E)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 s="7" cm="1">
        <f t="array" ref="E256">_xlfn.XLOOKUP($A256&amp;$B256,Лист2!$A:$A &amp; Лист2!$B:$B,Лист2!C:C)</f>
        <v>15</v>
      </c>
      <c r="F256" s="7" cm="1">
        <f t="array" ref="F256">_xlfn.XLOOKUP($A256&amp;$B256,Лист2!$A:$A &amp; Лист2!$B:$B,Лист2!D:D)</f>
        <v>760</v>
      </c>
      <c r="G256" s="7" cm="1">
        <f t="array" ref="G256">_xlfn.XLOOKUP($A256&amp;$B256,Лист2!$A:$A &amp; Лист2!$B:$B,Лист2!E:E)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25">
      <c r="A257" s="8">
        <v>43956</v>
      </c>
      <c r="B257" s="9" t="s">
        <v>19</v>
      </c>
      <c r="C257" s="9">
        <v>8223</v>
      </c>
      <c r="D257" s="9">
        <v>694593</v>
      </c>
      <c r="E257" s="7" cm="1">
        <f t="array" ref="E257">_xlfn.XLOOKUP($A257&amp;$B257,Лист2!$A:$A &amp; Лист2!$B:$B,Лист2!C:C)</f>
        <v>15</v>
      </c>
      <c r="F257" s="7" cm="1">
        <f t="array" ref="F257">_xlfn.XLOOKUP($A257&amp;$B257,Лист2!$A:$A &amp; Лист2!$B:$B,Лист2!D:D)</f>
        <v>455</v>
      </c>
      <c r="G257" s="7" cm="1">
        <f t="array" ref="G257">_xlfn.XLOOKUP($A257&amp;$B257,Лист2!$A:$A &amp; Лист2!$B:$B,Лист2!E:E)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 s="7" cm="1">
        <f t="array" ref="E258">_xlfn.XLOOKUP($A258&amp;$B258,Лист2!$A:$A &amp; Лист2!$B:$B,Лист2!C:C)</f>
        <v>18</v>
      </c>
      <c r="F258" s="7" cm="1">
        <f t="array" ref="F258">_xlfn.XLOOKUP($A258&amp;$B258,Лист2!$A:$A &amp; Лист2!$B:$B,Лист2!D:D)</f>
        <v>1505</v>
      </c>
      <c r="G258" s="7" cm="1">
        <f t="array" ref="G258">_xlfn.XLOOKUP($A258&amp;$B258,Лист2!$A:$A &amp; Лист2!$B:$B,Лист2!E:E)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25">
      <c r="A259" s="8">
        <v>43964</v>
      </c>
      <c r="B259" s="9" t="s">
        <v>19</v>
      </c>
      <c r="C259" s="9">
        <v>10401</v>
      </c>
      <c r="D259" s="9">
        <v>949912.5</v>
      </c>
      <c r="E259" s="7" cm="1">
        <f t="array" ref="E259">_xlfn.XLOOKUP($A259&amp;$B259,Лист2!$A:$A &amp; Лист2!$B:$B,Лист2!C:C)</f>
        <v>15</v>
      </c>
      <c r="F259" s="7" cm="1">
        <f t="array" ref="F259">_xlfn.XLOOKUP($A259&amp;$B259,Лист2!$A:$A &amp; Лист2!$B:$B,Лист2!D:D)</f>
        <v>599</v>
      </c>
      <c r="G259" s="7" cm="1">
        <f t="array" ref="G259">_xlfn.XLOOKUP($A259&amp;$B259,Лист2!$A:$A &amp; Лист2!$B:$B,Лист2!E:E)</f>
        <v>515</v>
      </c>
      <c r="H259">
        <f t="shared" ref="H259:H322" si="8">ROUND(D259/E259,2)</f>
        <v>63327.5</v>
      </c>
      <c r="I259">
        <f t="shared" ref="I259:I322" si="9">WEEKNUM(A259,2)</f>
        <v>20</v>
      </c>
    </row>
    <row r="260" spans="1:9" ht="14.25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 s="7" cm="1">
        <f t="array" ref="E260">_xlfn.XLOOKUP($A260&amp;$B260,Лист2!$A:$A &amp; Лист2!$B:$B,Лист2!C:C)</f>
        <v>17</v>
      </c>
      <c r="F260" s="7" cm="1">
        <f t="array" ref="F260">_xlfn.XLOOKUP($A260&amp;$B260,Лист2!$A:$A &amp; Лист2!$B:$B,Лист2!D:D)</f>
        <v>1186</v>
      </c>
      <c r="G260" s="7" cm="1">
        <f t="array" ref="G260">_xlfn.XLOOKUP($A260&amp;$B260,Лист2!$A:$A &amp; Лист2!$B:$B,Лист2!E:E)</f>
        <v>1054</v>
      </c>
      <c r="H260">
        <f t="shared" si="8"/>
        <v>93654.09</v>
      </c>
      <c r="I260">
        <f t="shared" si="9"/>
        <v>22</v>
      </c>
    </row>
    <row r="261" spans="1:9" ht="14.25" customHeight="1" x14ac:dyDescent="0.25">
      <c r="A261" s="8">
        <v>43954</v>
      </c>
      <c r="B261" s="9" t="s">
        <v>19</v>
      </c>
      <c r="C261" s="9">
        <v>8127</v>
      </c>
      <c r="D261" s="9">
        <v>665302.5</v>
      </c>
      <c r="E261" s="7" cm="1">
        <f t="array" ref="E261">_xlfn.XLOOKUP($A261&amp;$B261,Лист2!$A:$A &amp; Лист2!$B:$B,Лист2!C:C)</f>
        <v>15</v>
      </c>
      <c r="F261" s="7" cm="1">
        <f t="array" ref="F261">_xlfn.XLOOKUP($A261&amp;$B261,Лист2!$A:$A &amp; Лист2!$B:$B,Лист2!D:D)</f>
        <v>455</v>
      </c>
      <c r="G261" s="7" cm="1">
        <f t="array" ref="G261">_xlfn.XLOOKUP($A261&amp;$B261,Лист2!$A:$A &amp; Лист2!$B:$B,Лист2!E:E)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 s="7" cm="1">
        <f t="array" ref="E262">_xlfn.XLOOKUP($A262&amp;$B262,Лист2!$A:$A &amp; Лист2!$B:$B,Лист2!C:C)</f>
        <v>17</v>
      </c>
      <c r="F262" s="7" cm="1">
        <f t="array" ref="F262">_xlfn.XLOOKUP($A262&amp;$B262,Лист2!$A:$A &amp; Лист2!$B:$B,Лист2!D:D)</f>
        <v>1697</v>
      </c>
      <c r="G262" s="7" cm="1">
        <f t="array" ref="G262">_xlfn.XLOOKUP($A262&amp;$B262,Лист2!$A:$A &amp; Лист2!$B:$B,Лист2!E:E)</f>
        <v>1499</v>
      </c>
      <c r="H262">
        <f t="shared" si="8"/>
        <v>144544.24</v>
      </c>
      <c r="I262">
        <f t="shared" si="9"/>
        <v>22</v>
      </c>
    </row>
    <row r="263" spans="1:9" ht="14.25" customHeight="1" x14ac:dyDescent="0.25">
      <c r="A263" s="8">
        <v>43957</v>
      </c>
      <c r="B263" s="9" t="s">
        <v>19</v>
      </c>
      <c r="C263" s="9">
        <v>8464.5</v>
      </c>
      <c r="D263" s="9">
        <v>739291.5</v>
      </c>
      <c r="E263" s="7" cm="1">
        <f t="array" ref="E263">_xlfn.XLOOKUP($A263&amp;$B263,Лист2!$A:$A &amp; Лист2!$B:$B,Лист2!C:C)</f>
        <v>15</v>
      </c>
      <c r="F263" s="7" cm="1">
        <f t="array" ref="F263">_xlfn.XLOOKUP($A263&amp;$B263,Лист2!$A:$A &amp; Лист2!$B:$B,Лист2!D:D)</f>
        <v>467</v>
      </c>
      <c r="G263" s="7" cm="1">
        <f t="array" ref="G263">_xlfn.XLOOKUP($A263&amp;$B263,Лист2!$A:$A &amp; Лист2!$B:$B,Лист2!E:E)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 s="7" cm="1">
        <f t="array" ref="E264">_xlfn.XLOOKUP($A264&amp;$B264,Лист2!$A:$A &amp; Лист2!$B:$B,Лист2!C:C)</f>
        <v>15</v>
      </c>
      <c r="F264" s="7" cm="1">
        <f t="array" ref="F264">_xlfn.XLOOKUP($A264&amp;$B264,Лист2!$A:$A &amp; Лист2!$B:$B,Лист2!D:D)</f>
        <v>840</v>
      </c>
      <c r="G264" s="7" cm="1">
        <f t="array" ref="G264">_xlfn.XLOOKUP($A264&amp;$B264,Лист2!$A:$A &amp; Лист2!$B:$B,Лист2!E:E)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25">
      <c r="A265" s="8">
        <v>43979</v>
      </c>
      <c r="B265" s="9" t="s">
        <v>18</v>
      </c>
      <c r="C265" s="9">
        <v>16500</v>
      </c>
      <c r="D265" s="9">
        <v>1487928</v>
      </c>
      <c r="E265" s="7" cm="1">
        <f t="array" ref="E265">_xlfn.XLOOKUP($A265&amp;$B265,Лист2!$A:$A &amp; Лист2!$B:$B,Лист2!C:C)</f>
        <v>17</v>
      </c>
      <c r="F265" s="7" cm="1">
        <f t="array" ref="F265">_xlfn.XLOOKUP($A265&amp;$B265,Лист2!$A:$A &amp; Лист2!$B:$B,Лист2!D:D)</f>
        <v>1097</v>
      </c>
      <c r="G265" s="7" cm="1">
        <f t="array" ref="G265">_xlfn.XLOOKUP($A265&amp;$B265,Лист2!$A:$A &amp; Лист2!$B:$B,Лист2!E:E)</f>
        <v>968</v>
      </c>
      <c r="H265">
        <f t="shared" si="8"/>
        <v>87525.18</v>
      </c>
      <c r="I265">
        <f t="shared" si="9"/>
        <v>22</v>
      </c>
    </row>
    <row r="266" spans="1:9" ht="14.25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 s="7" cm="1">
        <f t="array" ref="E266">_xlfn.XLOOKUP($A266&amp;$B266,Лист2!$A:$A &amp; Лист2!$B:$B,Лист2!C:C)</f>
        <v>15</v>
      </c>
      <c r="F266" s="7" cm="1">
        <f t="array" ref="F266">_xlfn.XLOOKUP($A266&amp;$B266,Лист2!$A:$A &amp; Лист2!$B:$B,Лист2!D:D)</f>
        <v>835</v>
      </c>
      <c r="G266" s="7" cm="1">
        <f t="array" ref="G266">_xlfn.XLOOKUP($A266&amp;$B266,Лист2!$A:$A &amp; Лист2!$B:$B,Лист2!E:E)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25">
      <c r="A267" s="8">
        <v>43951</v>
      </c>
      <c r="B267" s="9" t="s">
        <v>19</v>
      </c>
      <c r="C267" s="9">
        <v>4285.5</v>
      </c>
      <c r="D267" s="9">
        <v>404691</v>
      </c>
      <c r="E267" s="7" cm="1">
        <f t="array" ref="E267">_xlfn.XLOOKUP($A267&amp;$B267,Лист2!$A:$A &amp; Лист2!$B:$B,Лист2!C:C)</f>
        <v>15</v>
      </c>
      <c r="F267" s="7" cm="1">
        <f t="array" ref="F267">_xlfn.XLOOKUP($A267&amp;$B267,Лист2!$A:$A &amp; Лист2!$B:$B,Лист2!D:D)</f>
        <v>262</v>
      </c>
      <c r="G267" s="7" cm="1">
        <f t="array" ref="G267">_xlfn.XLOOKUP($A267&amp;$B267,Лист2!$A:$A &amp; Лист2!$B:$B,Лист2!E:E)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 s="7" cm="1">
        <f t="array" ref="E268">_xlfn.XLOOKUP($A268&amp;$B268,Лист2!$A:$A &amp; Лист2!$B:$B,Лист2!C:C)</f>
        <v>15</v>
      </c>
      <c r="F268" s="7" cm="1">
        <f t="array" ref="F268">_xlfn.XLOOKUP($A268&amp;$B268,Лист2!$A:$A &amp; Лист2!$B:$B,Лист2!D:D)</f>
        <v>706</v>
      </c>
      <c r="G268" s="7" cm="1">
        <f t="array" ref="G268">_xlfn.XLOOKUP($A268&amp;$B268,Лист2!$A:$A &amp; Лист2!$B:$B,Лист2!E:E)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25">
      <c r="A269" s="8">
        <v>43959</v>
      </c>
      <c r="B269" s="9" t="s">
        <v>19</v>
      </c>
      <c r="C269" s="9">
        <v>9058.5</v>
      </c>
      <c r="D269" s="9">
        <v>798759</v>
      </c>
      <c r="E269" s="7" cm="1">
        <f t="array" ref="E269">_xlfn.XLOOKUP($A269&amp;$B269,Лист2!$A:$A &amp; Лист2!$B:$B,Лист2!C:C)</f>
        <v>15</v>
      </c>
      <c r="F269" s="7" cm="1">
        <f t="array" ref="F269">_xlfn.XLOOKUP($A269&amp;$B269,Лист2!$A:$A &amp; Лист2!$B:$B,Лист2!D:D)</f>
        <v>492</v>
      </c>
      <c r="G269" s="7" cm="1">
        <f t="array" ref="G269">_xlfn.XLOOKUP($A269&amp;$B269,Лист2!$A:$A &amp; Лист2!$B:$B,Лист2!E:E)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 s="7" cm="1">
        <f t="array" ref="E270">_xlfn.XLOOKUP($A270&amp;$B270,Лист2!$A:$A &amp; Лист2!$B:$B,Лист2!C:C)</f>
        <v>15</v>
      </c>
      <c r="F270" s="7" cm="1">
        <f t="array" ref="F270">_xlfn.XLOOKUP($A270&amp;$B270,Лист2!$A:$A &amp; Лист2!$B:$B,Лист2!D:D)</f>
        <v>480</v>
      </c>
      <c r="G270" s="7" cm="1">
        <f t="array" ref="G270">_xlfn.XLOOKUP($A270&amp;$B270,Лист2!$A:$A &amp; Лист2!$B:$B,Лист2!E:E)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25">
      <c r="A271" s="8">
        <v>43975</v>
      </c>
      <c r="B271" s="9" t="s">
        <v>19</v>
      </c>
      <c r="C271" s="9">
        <v>12666</v>
      </c>
      <c r="D271" s="9">
        <v>1184865</v>
      </c>
      <c r="E271" s="7" cm="1">
        <f t="array" ref="E271">_xlfn.XLOOKUP($A271&amp;$B271,Лист2!$A:$A &amp; Лист2!$B:$B,Лист2!C:C)</f>
        <v>15</v>
      </c>
      <c r="F271" s="7" cm="1">
        <f t="array" ref="F271">_xlfn.XLOOKUP($A271&amp;$B271,Лист2!$A:$A &amp; Лист2!$B:$B,Лист2!D:D)</f>
        <v>779</v>
      </c>
      <c r="G271" s="7" cm="1">
        <f t="array" ref="G271">_xlfn.XLOOKUP($A271&amp;$B271,Лист2!$A:$A &amp; Лист2!$B:$B,Лист2!E:E)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 s="7" cm="1">
        <f t="array" ref="E272">_xlfn.XLOOKUP($A272&amp;$B272,Лист2!$A:$A &amp; Лист2!$B:$B,Лист2!C:C)</f>
        <v>19</v>
      </c>
      <c r="F272" s="7" cm="1">
        <f t="array" ref="F272">_xlfn.XLOOKUP($A272&amp;$B272,Лист2!$A:$A &amp; Лист2!$B:$B,Лист2!D:D)</f>
        <v>2039</v>
      </c>
      <c r="G272" s="7" cm="1">
        <f t="array" ref="G272">_xlfn.XLOOKUP($A272&amp;$B272,Лист2!$A:$A &amp; Лист2!$B:$B,Лист2!E:E)</f>
        <v>1868</v>
      </c>
      <c r="H272">
        <f t="shared" si="8"/>
        <v>153835.97</v>
      </c>
      <c r="I272">
        <f t="shared" si="9"/>
        <v>20</v>
      </c>
    </row>
    <row r="273" spans="1:9" ht="14.25" customHeight="1" x14ac:dyDescent="0.25">
      <c r="A273" s="8">
        <v>43970</v>
      </c>
      <c r="B273" s="9" t="s">
        <v>20</v>
      </c>
      <c r="C273" s="9">
        <v>28882.5</v>
      </c>
      <c r="D273" s="9">
        <v>2446530</v>
      </c>
      <c r="E273" s="7" cm="1">
        <f t="array" ref="E273">_xlfn.XLOOKUP($A273&amp;$B273,Лист2!$A:$A &amp; Лист2!$B:$B,Лист2!C:C)</f>
        <v>19</v>
      </c>
      <c r="F273" s="7" cm="1">
        <f t="array" ref="F273">_xlfn.XLOOKUP($A273&amp;$B273,Лист2!$A:$A &amp; Лист2!$B:$B,Лист2!D:D)</f>
        <v>1831</v>
      </c>
      <c r="G273" s="7" cm="1">
        <f t="array" ref="G273">_xlfn.XLOOKUP($A273&amp;$B273,Лист2!$A:$A &amp; Лист2!$B:$B,Лист2!E:E)</f>
        <v>1667</v>
      </c>
      <c r="H273">
        <f t="shared" si="8"/>
        <v>128764.74</v>
      </c>
      <c r="I273">
        <f t="shared" si="9"/>
        <v>21</v>
      </c>
    </row>
    <row r="274" spans="1:9" ht="14.25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 s="7" cm="1">
        <f t="array" ref="E274">_xlfn.XLOOKUP($A274&amp;$B274,Лист2!$A:$A &amp; Лист2!$B:$B,Лист2!C:C)</f>
        <v>19</v>
      </c>
      <c r="F274" s="7" cm="1">
        <f t="array" ref="F274">_xlfn.XLOOKUP($A274&amp;$B274,Лист2!$A:$A &amp; Лист2!$B:$B,Лист2!D:D)</f>
        <v>1790</v>
      </c>
      <c r="G274" s="7" cm="1">
        <f t="array" ref="G274">_xlfn.XLOOKUP($A274&amp;$B274,Лист2!$A:$A &amp; Лист2!$B:$B,Лист2!E:E)</f>
        <v>1633</v>
      </c>
      <c r="H274">
        <f t="shared" si="8"/>
        <v>128191.18</v>
      </c>
      <c r="I274">
        <f t="shared" si="9"/>
        <v>20</v>
      </c>
    </row>
    <row r="275" spans="1:9" ht="14.25" customHeight="1" x14ac:dyDescent="0.25">
      <c r="A275" s="8">
        <v>43960</v>
      </c>
      <c r="B275" s="9" t="s">
        <v>20</v>
      </c>
      <c r="C275" s="9">
        <v>26271</v>
      </c>
      <c r="D275" s="9">
        <v>2384937</v>
      </c>
      <c r="E275" s="7" cm="1">
        <f t="array" ref="E275">_xlfn.XLOOKUP($A275&amp;$B275,Лист2!$A:$A &amp; Лист2!$B:$B,Лист2!C:C)</f>
        <v>19</v>
      </c>
      <c r="F275" s="7" cm="1">
        <f t="array" ref="F275">_xlfn.XLOOKUP($A275&amp;$B275,Лист2!$A:$A &amp; Лист2!$B:$B,Лист2!D:D)</f>
        <v>1542</v>
      </c>
      <c r="G275" s="7" cm="1">
        <f t="array" ref="G275">_xlfn.XLOOKUP($A275&amp;$B275,Лист2!$A:$A &amp; Лист2!$B:$B,Лист2!E:E)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 s="7" cm="1">
        <f t="array" ref="E276">_xlfn.XLOOKUP($A276&amp;$B276,Лист2!$A:$A &amp; Лист2!$B:$B,Лист2!C:C)</f>
        <v>19</v>
      </c>
      <c r="F276" s="7" cm="1">
        <f t="array" ref="F276">_xlfn.XLOOKUP($A276&amp;$B276,Лист2!$A:$A &amp; Лист2!$B:$B,Лист2!D:D)</f>
        <v>1479</v>
      </c>
      <c r="G276" s="7" cm="1">
        <f t="array" ref="G276">_xlfn.XLOOKUP($A276&amp;$B276,Лист2!$A:$A &amp; Лист2!$B:$B,Лист2!E:E)</f>
        <v>1346</v>
      </c>
      <c r="H276">
        <f t="shared" si="8"/>
        <v>113456.21</v>
      </c>
      <c r="I276">
        <f t="shared" si="9"/>
        <v>19</v>
      </c>
    </row>
    <row r="277" spans="1:9" ht="14.25" customHeight="1" x14ac:dyDescent="0.25">
      <c r="A277" s="8">
        <v>43953</v>
      </c>
      <c r="B277" s="9" t="s">
        <v>20</v>
      </c>
      <c r="C277" s="9">
        <v>18427.5</v>
      </c>
      <c r="D277" s="9">
        <v>1682851.5</v>
      </c>
      <c r="E277" s="7" cm="1">
        <f t="array" ref="E277">_xlfn.XLOOKUP($A277&amp;$B277,Лист2!$A:$A &amp; Лист2!$B:$B,Лист2!C:C)</f>
        <v>19</v>
      </c>
      <c r="F277" s="7" cm="1">
        <f t="array" ref="F277">_xlfn.XLOOKUP($A277&amp;$B277,Лист2!$A:$A &amp; Лист2!$B:$B,Лист2!D:D)</f>
        <v>1206</v>
      </c>
      <c r="G277" s="7" cm="1">
        <f t="array" ref="G277">_xlfn.XLOOKUP($A277&amp;$B277,Лист2!$A:$A &amp; Лист2!$B:$B,Лист2!E:E)</f>
        <v>1080</v>
      </c>
      <c r="H277">
        <f t="shared" si="8"/>
        <v>88571.13</v>
      </c>
      <c r="I277">
        <f t="shared" si="9"/>
        <v>18</v>
      </c>
    </row>
    <row r="278" spans="1:9" ht="14.25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 s="7" cm="1">
        <f t="array" ref="E278">_xlfn.XLOOKUP($A278&amp;$B278,Лист2!$A:$A &amp; Лист2!$B:$B,Лист2!C:C)</f>
        <v>20</v>
      </c>
      <c r="F278" s="7" cm="1">
        <f t="array" ref="F278">_xlfn.XLOOKUP($A278&amp;$B278,Лист2!$A:$A &amp; Лист2!$B:$B,Лист2!D:D)</f>
        <v>1814</v>
      </c>
      <c r="G278" s="7" cm="1">
        <f t="array" ref="G278">_xlfn.XLOOKUP($A278&amp;$B278,Лист2!$A:$A &amp; Лист2!$B:$B,Лист2!E:E)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25">
      <c r="A279" s="8">
        <v>43952</v>
      </c>
      <c r="B279" s="9" t="s">
        <v>20</v>
      </c>
      <c r="C279" s="9">
        <v>35190</v>
      </c>
      <c r="D279" s="9">
        <v>3168510</v>
      </c>
      <c r="E279" s="7" cm="1">
        <f t="array" ref="E279">_xlfn.XLOOKUP($A279&amp;$B279,Лист2!$A:$A &amp; Лист2!$B:$B,Лист2!C:C)</f>
        <v>19</v>
      </c>
      <c r="F279" s="7" cm="1">
        <f t="array" ref="F279">_xlfn.XLOOKUP($A279&amp;$B279,Лист2!$A:$A &amp; Лист2!$B:$B,Лист2!D:D)</f>
        <v>1987</v>
      </c>
      <c r="G279" s="7" cm="1">
        <f t="array" ref="G279">_xlfn.XLOOKUP($A279&amp;$B279,Лист2!$A:$A &amp; Лист2!$B:$B,Лист2!E:E)</f>
        <v>1791</v>
      </c>
      <c r="H279">
        <f t="shared" si="8"/>
        <v>166763.68</v>
      </c>
      <c r="I279">
        <f t="shared" si="9"/>
        <v>18</v>
      </c>
    </row>
    <row r="280" spans="1:9" ht="14.25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 s="7" cm="1">
        <f t="array" ref="E280">_xlfn.XLOOKUP($A280&amp;$B280,Лист2!$A:$A &amp; Лист2!$B:$B,Лист2!C:C)</f>
        <v>19</v>
      </c>
      <c r="F280" s="7" cm="1">
        <f t="array" ref="F280">_xlfn.XLOOKUP($A280&amp;$B280,Лист2!$A:$A &amp; Лист2!$B:$B,Лист2!D:D)</f>
        <v>1598</v>
      </c>
      <c r="G280" s="7" cm="1">
        <f t="array" ref="G280">_xlfn.XLOOKUP($A280&amp;$B280,Лист2!$A:$A &amp; Лист2!$B:$B,Лист2!E:E)</f>
        <v>1454</v>
      </c>
      <c r="H280">
        <f t="shared" si="8"/>
        <v>118061.05</v>
      </c>
      <c r="I280">
        <f t="shared" si="9"/>
        <v>20</v>
      </c>
    </row>
    <row r="281" spans="1:9" ht="14.25" customHeight="1" x14ac:dyDescent="0.25">
      <c r="A281" s="8">
        <v>43972</v>
      </c>
      <c r="B281" s="9" t="s">
        <v>20</v>
      </c>
      <c r="C281" s="9">
        <v>25362</v>
      </c>
      <c r="D281" s="9">
        <v>2198935.5</v>
      </c>
      <c r="E281" s="7" cm="1">
        <f t="array" ref="E281">_xlfn.XLOOKUP($A281&amp;$B281,Лист2!$A:$A &amp; Лист2!$B:$B,Лист2!C:C)</f>
        <v>19</v>
      </c>
      <c r="F281" s="7" cm="1">
        <f t="array" ref="F281">_xlfn.XLOOKUP($A281&amp;$B281,Лист2!$A:$A &amp; Лист2!$B:$B,Лист2!D:D)</f>
        <v>1650</v>
      </c>
      <c r="G281" s="7" cm="1">
        <f t="array" ref="G281">_xlfn.XLOOKUP($A281&amp;$B281,Лист2!$A:$A &amp; Лист2!$B:$B,Лист2!E:E)</f>
        <v>1505</v>
      </c>
      <c r="H281">
        <f t="shared" si="8"/>
        <v>115733.45</v>
      </c>
      <c r="I281">
        <f t="shared" si="9"/>
        <v>21</v>
      </c>
    </row>
    <row r="282" spans="1:9" ht="14.25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 s="7" cm="1">
        <f t="array" ref="E282">_xlfn.XLOOKUP($A282&amp;$B282,Лист2!$A:$A &amp; Лист2!$B:$B,Лист2!C:C)</f>
        <v>19</v>
      </c>
      <c r="F282" s="7" cm="1">
        <f t="array" ref="F282">_xlfn.XLOOKUP($A282&amp;$B282,Лист2!$A:$A &amp; Лист2!$B:$B,Лист2!D:D)</f>
        <v>1823</v>
      </c>
      <c r="G282" s="7" cm="1">
        <f t="array" ref="G282">_xlfn.XLOOKUP($A282&amp;$B282,Лист2!$A:$A &amp; Лист2!$B:$B,Лист2!E:E)</f>
        <v>1678</v>
      </c>
      <c r="H282">
        <f t="shared" si="8"/>
        <v>132671.53</v>
      </c>
      <c r="I282">
        <f t="shared" si="9"/>
        <v>21</v>
      </c>
    </row>
    <row r="283" spans="1:9" ht="14.25" customHeight="1" x14ac:dyDescent="0.25">
      <c r="A283" s="8">
        <v>43956</v>
      </c>
      <c r="B283" s="9" t="s">
        <v>20</v>
      </c>
      <c r="C283" s="9">
        <v>26367</v>
      </c>
      <c r="D283" s="9">
        <v>2380333.5</v>
      </c>
      <c r="E283" s="7" cm="1">
        <f t="array" ref="E283">_xlfn.XLOOKUP($A283&amp;$B283,Лист2!$A:$A &amp; Лист2!$B:$B,Лист2!C:C)</f>
        <v>19</v>
      </c>
      <c r="F283" s="7" cm="1">
        <f t="array" ref="F283">_xlfn.XLOOKUP($A283&amp;$B283,Лист2!$A:$A &amp; Лист2!$B:$B,Лист2!D:D)</f>
        <v>1622</v>
      </c>
      <c r="G283" s="7" cm="1">
        <f t="array" ref="G283">_xlfn.XLOOKUP($A283&amp;$B283,Лист2!$A:$A &amp; Лист2!$B:$B,Лист2!E:E)</f>
        <v>1482</v>
      </c>
      <c r="H283">
        <f t="shared" si="8"/>
        <v>125280.71</v>
      </c>
      <c r="I283">
        <f t="shared" si="9"/>
        <v>19</v>
      </c>
    </row>
    <row r="284" spans="1:9" ht="14.25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 s="7" cm="1">
        <f t="array" ref="E284">_xlfn.XLOOKUP($A284&amp;$B284,Лист2!$A:$A &amp; Лист2!$B:$B,Лист2!C:C)</f>
        <v>19</v>
      </c>
      <c r="F284" s="7" cm="1">
        <f t="array" ref="F284">_xlfn.XLOOKUP($A284&amp;$B284,Лист2!$A:$A &amp; Лист2!$B:$B,Лист2!D:D)</f>
        <v>1605</v>
      </c>
      <c r="G284" s="7" cm="1">
        <f t="array" ref="G284">_xlfn.XLOOKUP($A284&amp;$B284,Лист2!$A:$A &amp; Лист2!$B:$B,Лист2!E:E)</f>
        <v>1447</v>
      </c>
      <c r="H284">
        <f t="shared" si="8"/>
        <v>119139.55</v>
      </c>
      <c r="I284">
        <f t="shared" si="9"/>
        <v>20</v>
      </c>
    </row>
    <row r="285" spans="1:9" ht="14.25" customHeight="1" x14ac:dyDescent="0.25">
      <c r="A285" s="8">
        <v>43982</v>
      </c>
      <c r="B285" s="9" t="s">
        <v>19</v>
      </c>
      <c r="C285" s="9">
        <v>14808</v>
      </c>
      <c r="D285" s="9">
        <v>1336789.5</v>
      </c>
      <c r="E285" s="7" cm="1">
        <f t="array" ref="E285">_xlfn.XLOOKUP($A285&amp;$B285,Лист2!$A:$A &amp; Лист2!$B:$B,Лист2!C:C)</f>
        <v>16</v>
      </c>
      <c r="F285" s="7" cm="1">
        <f t="array" ref="F285">_xlfn.XLOOKUP($A285&amp;$B285,Лист2!$A:$A &amp; Лист2!$B:$B,Лист2!D:D)</f>
        <v>917</v>
      </c>
      <c r="G285" s="7" cm="1">
        <f t="array" ref="G285">_xlfn.XLOOKUP($A285&amp;$B285,Лист2!$A:$A &amp; Лист2!$B:$B,Лист2!E:E)</f>
        <v>802</v>
      </c>
      <c r="H285">
        <f t="shared" si="8"/>
        <v>83549.34</v>
      </c>
      <c r="I285">
        <f t="shared" si="9"/>
        <v>22</v>
      </c>
    </row>
    <row r="286" spans="1:9" ht="14.25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 s="7" cm="1">
        <f t="array" ref="E286">_xlfn.XLOOKUP($A286&amp;$B286,Лист2!$A:$A &amp; Лист2!$B:$B,Лист2!C:C)</f>
        <v>19</v>
      </c>
      <c r="F286" s="7" cm="1">
        <f t="array" ref="F286">_xlfn.XLOOKUP($A286&amp;$B286,Лист2!$A:$A &amp; Лист2!$B:$B,Лист2!D:D)</f>
        <v>1314</v>
      </c>
      <c r="G286" s="7" cm="1">
        <f t="array" ref="G286">_xlfn.XLOOKUP($A286&amp;$B286,Лист2!$A:$A &amp; Лист2!$B:$B,Лист2!E:E)</f>
        <v>1192</v>
      </c>
      <c r="H286">
        <f t="shared" si="8"/>
        <v>100345.11</v>
      </c>
      <c r="I286">
        <f t="shared" si="9"/>
        <v>18</v>
      </c>
    </row>
    <row r="287" spans="1:9" ht="14.25" customHeight="1" x14ac:dyDescent="0.25">
      <c r="A287" s="8">
        <v>43981</v>
      </c>
      <c r="B287" s="9" t="s">
        <v>19</v>
      </c>
      <c r="C287" s="9">
        <v>17946</v>
      </c>
      <c r="D287" s="9">
        <v>1609090.5</v>
      </c>
      <c r="E287" s="7" cm="1">
        <f t="array" ref="E287">_xlfn.XLOOKUP($A287&amp;$B287,Лист2!$A:$A &amp; Лист2!$B:$B,Лист2!C:C)</f>
        <v>16</v>
      </c>
      <c r="F287" s="7" cm="1">
        <f t="array" ref="F287">_xlfn.XLOOKUP($A287&amp;$B287,Лист2!$A:$A &amp; Лист2!$B:$B,Лист2!D:D)</f>
        <v>1048</v>
      </c>
      <c r="G287" s="7" cm="1">
        <f t="array" ref="G287">_xlfn.XLOOKUP($A287&amp;$B287,Лист2!$A:$A &amp; Лист2!$B:$B,Лист2!E:E)</f>
        <v>918</v>
      </c>
      <c r="H287">
        <f t="shared" si="8"/>
        <v>100568.16</v>
      </c>
      <c r="I287">
        <f t="shared" si="9"/>
        <v>22</v>
      </c>
    </row>
    <row r="288" spans="1:9" ht="14.25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 s="7" cm="1">
        <f t="array" ref="E288">_xlfn.XLOOKUP($A288&amp;$B288,Лист2!$A:$A &amp; Лист2!$B:$B,Лист2!C:C)</f>
        <v>19</v>
      </c>
      <c r="F288" s="7" cm="1">
        <f t="array" ref="F288">_xlfn.XLOOKUP($A288&amp;$B288,Лист2!$A:$A &amp; Лист2!$B:$B,Лист2!D:D)</f>
        <v>1509</v>
      </c>
      <c r="G288" s="7" cm="1">
        <f t="array" ref="G288">_xlfn.XLOOKUP($A288&amp;$B288,Лист2!$A:$A &amp; Лист2!$B:$B,Лист2!E:E)</f>
        <v>1374</v>
      </c>
      <c r="H288">
        <f t="shared" si="8"/>
        <v>113650.03</v>
      </c>
      <c r="I288">
        <f t="shared" si="9"/>
        <v>19</v>
      </c>
    </row>
    <row r="289" spans="1:9" ht="14.25" customHeight="1" x14ac:dyDescent="0.25">
      <c r="A289" s="8">
        <v>43974</v>
      </c>
      <c r="B289" s="9" t="s">
        <v>20</v>
      </c>
      <c r="C289" s="9">
        <v>36997.5</v>
      </c>
      <c r="D289" s="9">
        <v>3089140.5</v>
      </c>
      <c r="E289" s="7" cm="1">
        <f t="array" ref="E289">_xlfn.XLOOKUP($A289&amp;$B289,Лист2!$A:$A &amp; Лист2!$B:$B,Лист2!C:C)</f>
        <v>19</v>
      </c>
      <c r="F289" s="7" cm="1">
        <f t="array" ref="F289">_xlfn.XLOOKUP($A289&amp;$B289,Лист2!$A:$A &amp; Лист2!$B:$B,Лист2!D:D)</f>
        <v>2195</v>
      </c>
      <c r="G289" s="7" cm="1">
        <f t="array" ref="G289">_xlfn.XLOOKUP($A289&amp;$B289,Лист2!$A:$A &amp; Лист2!$B:$B,Лист2!E:E)</f>
        <v>1999</v>
      </c>
      <c r="H289">
        <f t="shared" si="8"/>
        <v>162586.34</v>
      </c>
      <c r="I289">
        <f t="shared" si="9"/>
        <v>21</v>
      </c>
    </row>
    <row r="290" spans="1:9" ht="14.25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 s="7" cm="1">
        <f t="array" ref="E290">_xlfn.XLOOKUP($A290&amp;$B290,Лист2!$A:$A &amp; Лист2!$B:$B,Лист2!C:C)</f>
        <v>16</v>
      </c>
      <c r="F290" s="7" cm="1">
        <f t="array" ref="F290">_xlfn.XLOOKUP($A290&amp;$B290,Лист2!$A:$A &amp; Лист2!$B:$B,Лист2!D:D)</f>
        <v>876</v>
      </c>
      <c r="G290" s="7" cm="1">
        <f t="array" ref="G290">_xlfn.XLOOKUP($A290&amp;$B290,Лист2!$A:$A &amp; Лист2!$B:$B,Лист2!E:E)</f>
        <v>762</v>
      </c>
      <c r="H290">
        <f t="shared" si="8"/>
        <v>77484.19</v>
      </c>
      <c r="I290">
        <f t="shared" si="9"/>
        <v>22</v>
      </c>
    </row>
    <row r="291" spans="1:9" ht="14.25" customHeight="1" x14ac:dyDescent="0.25">
      <c r="A291" s="8">
        <v>43976</v>
      </c>
      <c r="B291" s="9" t="s">
        <v>20</v>
      </c>
      <c r="C291" s="9">
        <v>28494</v>
      </c>
      <c r="D291" s="9">
        <v>2512803</v>
      </c>
      <c r="E291" s="7" cm="1">
        <f t="array" ref="E291">_xlfn.XLOOKUP($A291&amp;$B291,Лист2!$A:$A &amp; Лист2!$B:$B,Лист2!C:C)</f>
        <v>20</v>
      </c>
      <c r="F291" s="7" cm="1">
        <f t="array" ref="F291">_xlfn.XLOOKUP($A291&amp;$B291,Лист2!$A:$A &amp; Лист2!$B:$B,Лист2!D:D)</f>
        <v>1899</v>
      </c>
      <c r="G291" s="7" cm="1">
        <f t="array" ref="G291">_xlfn.XLOOKUP($A291&amp;$B291,Лист2!$A:$A &amp; Лист2!$B:$B,Лист2!E:E)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 s="7" cm="1">
        <f t="array" ref="E292">_xlfn.XLOOKUP($A292&amp;$B292,Лист2!$A:$A &amp; Лист2!$B:$B,Лист2!C:C)</f>
        <v>19</v>
      </c>
      <c r="F292" s="7" cm="1">
        <f t="array" ref="F292">_xlfn.XLOOKUP($A292&amp;$B292,Лист2!$A:$A &amp; Лист2!$B:$B,Лист2!D:D)</f>
        <v>1662</v>
      </c>
      <c r="G292" s="7" cm="1">
        <f t="array" ref="G292">_xlfn.XLOOKUP($A292&amp;$B292,Лист2!$A:$A &amp; Лист2!$B:$B,Лист2!E:E)</f>
        <v>1506</v>
      </c>
      <c r="H292">
        <f t="shared" si="8"/>
        <v>134741.04999999999</v>
      </c>
      <c r="I292">
        <f t="shared" si="9"/>
        <v>18</v>
      </c>
    </row>
    <row r="293" spans="1:9" ht="14.25" customHeight="1" x14ac:dyDescent="0.25">
      <c r="A293" s="8">
        <v>43961</v>
      </c>
      <c r="B293" s="9" t="s">
        <v>20</v>
      </c>
      <c r="C293" s="9">
        <v>31224</v>
      </c>
      <c r="D293" s="9">
        <v>2767270.5</v>
      </c>
      <c r="E293" s="7" cm="1">
        <f t="array" ref="E293">_xlfn.XLOOKUP($A293&amp;$B293,Лист2!$A:$A &amp; Лист2!$B:$B,Лист2!C:C)</f>
        <v>19</v>
      </c>
      <c r="F293" s="7" cm="1">
        <f t="array" ref="F293">_xlfn.XLOOKUP($A293&amp;$B293,Лист2!$A:$A &amp; Лист2!$B:$B,Лист2!D:D)</f>
        <v>1836</v>
      </c>
      <c r="G293" s="7" cm="1">
        <f t="array" ref="G293">_xlfn.XLOOKUP($A293&amp;$B293,Лист2!$A:$A &amp; Лист2!$B:$B,Лист2!E:E)</f>
        <v>1680</v>
      </c>
      <c r="H293">
        <f t="shared" si="8"/>
        <v>145645.82</v>
      </c>
      <c r="I293">
        <f t="shared" si="9"/>
        <v>19</v>
      </c>
    </row>
    <row r="294" spans="1:9" ht="14.25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 s="7" cm="1">
        <f t="array" ref="E294">_xlfn.XLOOKUP($A294&amp;$B294,Лист2!$A:$A &amp; Лист2!$B:$B,Лист2!C:C)</f>
        <v>19</v>
      </c>
      <c r="F294" s="7" cm="1">
        <f t="array" ref="F294">_xlfn.XLOOKUP($A294&amp;$B294,Лист2!$A:$A &amp; Лист2!$B:$B,Лист2!D:D)</f>
        <v>1520</v>
      </c>
      <c r="G294" s="7" cm="1">
        <f t="array" ref="G294">_xlfn.XLOOKUP($A294&amp;$B294,Лист2!$A:$A &amp; Лист2!$B:$B,Лист2!E:E)</f>
        <v>1380</v>
      </c>
      <c r="H294">
        <f t="shared" si="8"/>
        <v>117682.11</v>
      </c>
      <c r="I294">
        <f t="shared" si="9"/>
        <v>19</v>
      </c>
    </row>
    <row r="295" spans="1:9" ht="14.25" customHeight="1" x14ac:dyDescent="0.25">
      <c r="A295" s="8">
        <v>43958</v>
      </c>
      <c r="B295" s="9" t="s">
        <v>20</v>
      </c>
      <c r="C295" s="9">
        <v>26184</v>
      </c>
      <c r="D295" s="9">
        <v>2308336.5</v>
      </c>
      <c r="E295" s="7" cm="1">
        <f t="array" ref="E295">_xlfn.XLOOKUP($A295&amp;$B295,Лист2!$A:$A &amp; Лист2!$B:$B,Лист2!C:C)</f>
        <v>19</v>
      </c>
      <c r="F295" s="7" cm="1">
        <f t="array" ref="F295">_xlfn.XLOOKUP($A295&amp;$B295,Лист2!$A:$A &amp; Лист2!$B:$B,Лист2!D:D)</f>
        <v>1580</v>
      </c>
      <c r="G295" s="7" cm="1">
        <f t="array" ref="G295">_xlfn.XLOOKUP($A295&amp;$B295,Лист2!$A:$A &amp; Лист2!$B:$B,Лист2!E:E)</f>
        <v>1435</v>
      </c>
      <c r="H295">
        <f t="shared" si="8"/>
        <v>121491.39</v>
      </c>
      <c r="I295">
        <f t="shared" si="9"/>
        <v>19</v>
      </c>
    </row>
    <row r="296" spans="1:9" ht="14.25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 s="7" cm="1">
        <f t="array" ref="E296">_xlfn.XLOOKUP($A296&amp;$B296,Лист2!$A:$A &amp; Лист2!$B:$B,Лист2!C:C)</f>
        <v>19</v>
      </c>
      <c r="F296" s="7" cm="1">
        <f t="array" ref="F296">_xlfn.XLOOKUP($A296&amp;$B296,Лист2!$A:$A &amp; Лист2!$B:$B,Лист2!D:D)</f>
        <v>1868</v>
      </c>
      <c r="G296" s="7" cm="1">
        <f t="array" ref="G296">_xlfn.XLOOKUP($A296&amp;$B296,Лист2!$A:$A &amp; Лист2!$B:$B,Лист2!E:E)</f>
        <v>1706</v>
      </c>
      <c r="H296">
        <f t="shared" si="8"/>
        <v>132995.21</v>
      </c>
      <c r="I296">
        <f t="shared" si="9"/>
        <v>21</v>
      </c>
    </row>
    <row r="297" spans="1:9" ht="14.25" customHeight="1" x14ac:dyDescent="0.25">
      <c r="A297" s="8">
        <v>43950</v>
      </c>
      <c r="B297" s="9" t="s">
        <v>21</v>
      </c>
      <c r="C297" s="9">
        <v>208351.5</v>
      </c>
      <c r="D297" s="9">
        <v>21615333</v>
      </c>
      <c r="E297" s="7" cm="1">
        <f t="array" ref="E297">_xlfn.XLOOKUP($A297&amp;$B297,Лист2!$A:$A &amp; Лист2!$B:$B,Лист2!C:C)</f>
        <v>59</v>
      </c>
      <c r="F297" s="7" cm="1">
        <f t="array" ref="F297">_xlfn.XLOOKUP($A297&amp;$B297,Лист2!$A:$A &amp; Лист2!$B:$B,Лист2!D:D)</f>
        <v>13186</v>
      </c>
      <c r="G297" s="7" cm="1">
        <f t="array" ref="G297">_xlfn.XLOOKUP($A297&amp;$B297,Лист2!$A:$A &amp; Лист2!$B:$B,Лист2!E:E)</f>
        <v>12251</v>
      </c>
      <c r="H297">
        <f t="shared" si="8"/>
        <v>366361.58</v>
      </c>
      <c r="I297">
        <f t="shared" si="9"/>
        <v>18</v>
      </c>
    </row>
    <row r="298" spans="1:9" ht="14.25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 s="7" cm="1">
        <f t="array" ref="E298">_xlfn.XLOOKUP($A298&amp;$B298,Лист2!$A:$A &amp; Лист2!$B:$B,Лист2!C:C)</f>
        <v>59</v>
      </c>
      <c r="F298" s="7" cm="1">
        <f t="array" ref="F298">_xlfn.XLOOKUP($A298&amp;$B298,Лист2!$A:$A &amp; Лист2!$B:$B,Лист2!D:D)</f>
        <v>12943</v>
      </c>
      <c r="G298" s="7" cm="1">
        <f t="array" ref="G298">_xlfn.XLOOKUP($A298&amp;$B298,Лист2!$A:$A &amp; Лист2!$B:$B,Лист2!E:E)</f>
        <v>12072</v>
      </c>
      <c r="H298">
        <f t="shared" si="8"/>
        <v>357879.64</v>
      </c>
      <c r="I298">
        <f t="shared" si="9"/>
        <v>18</v>
      </c>
    </row>
    <row r="299" spans="1:9" ht="14.25" customHeight="1" x14ac:dyDescent="0.25">
      <c r="A299" s="8">
        <v>43982</v>
      </c>
      <c r="B299" s="9" t="s">
        <v>20</v>
      </c>
      <c r="C299" s="9">
        <v>31372.5</v>
      </c>
      <c r="D299" s="9">
        <v>2794324.5</v>
      </c>
      <c r="E299" s="7" cm="1">
        <f t="array" ref="E299">_xlfn.XLOOKUP($A299&amp;$B299,Лист2!$A:$A &amp; Лист2!$B:$B,Лист2!C:C)</f>
        <v>21</v>
      </c>
      <c r="F299" s="7" cm="1">
        <f t="array" ref="F299">_xlfn.XLOOKUP($A299&amp;$B299,Лист2!$A:$A &amp; Лист2!$B:$B,Лист2!D:D)</f>
        <v>2056</v>
      </c>
      <c r="G299" s="7" cm="1">
        <f t="array" ref="G299">_xlfn.XLOOKUP($A299&amp;$B299,Лист2!$A:$A &amp; Лист2!$B:$B,Лист2!E:E)</f>
        <v>1879</v>
      </c>
      <c r="H299">
        <f t="shared" si="8"/>
        <v>133063.07</v>
      </c>
      <c r="I299">
        <f t="shared" si="9"/>
        <v>22</v>
      </c>
    </row>
    <row r="300" spans="1:9" ht="14.25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 s="7" cm="1">
        <f t="array" ref="E300">_xlfn.XLOOKUP($A300&amp;$B300,Лист2!$A:$A &amp; Лист2!$B:$B,Лист2!C:C)</f>
        <v>20</v>
      </c>
      <c r="F300" s="7" cm="1">
        <f t="array" ref="F300">_xlfn.XLOOKUP($A300&amp;$B300,Лист2!$A:$A &amp; Лист2!$B:$B,Лист2!D:D)</f>
        <v>2174</v>
      </c>
      <c r="G300" s="7" cm="1">
        <f t="array" ref="G300">_xlfn.XLOOKUP($A300&amp;$B300,Лист2!$A:$A &amp; Лист2!$B:$B,Лист2!E:E)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25">
      <c r="A301" s="8">
        <v>43979</v>
      </c>
      <c r="B301" s="9" t="s">
        <v>20</v>
      </c>
      <c r="C301" s="9">
        <v>28197</v>
      </c>
      <c r="D301" s="9">
        <v>2559211.5</v>
      </c>
      <c r="E301" s="7" cm="1">
        <f t="array" ref="E301">_xlfn.XLOOKUP($A301&amp;$B301,Лист2!$A:$A &amp; Лист2!$B:$B,Лист2!C:C)</f>
        <v>20</v>
      </c>
      <c r="F301" s="7" cm="1">
        <f t="array" ref="F301">_xlfn.XLOOKUP($A301&amp;$B301,Лист2!$A:$A &amp; Лист2!$B:$B,Лист2!D:D)</f>
        <v>1875</v>
      </c>
      <c r="G301" s="7" cm="1">
        <f t="array" ref="G301">_xlfn.XLOOKUP($A301&amp;$B301,Лист2!$A:$A &amp; Лист2!$B:$B,Лист2!E:E)</f>
        <v>1701</v>
      </c>
      <c r="H301">
        <f t="shared" si="8"/>
        <v>127960.58</v>
      </c>
      <c r="I301">
        <f t="shared" si="9"/>
        <v>22</v>
      </c>
    </row>
    <row r="302" spans="1:9" ht="14.25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 s="7" cm="1">
        <f t="array" ref="E302">_xlfn.XLOOKUP($A302&amp;$B302,Лист2!$A:$A &amp; Лист2!$B:$B,Лист2!C:C)</f>
        <v>60</v>
      </c>
      <c r="F302" s="7" cm="1">
        <f t="array" ref="F302">_xlfn.XLOOKUP($A302&amp;$B302,Лист2!$A:$A &amp; Лист2!$B:$B,Лист2!D:D)</f>
        <v>14049</v>
      </c>
      <c r="G302" s="7" cm="1">
        <f t="array" ref="G302">_xlfn.XLOOKUP($A302&amp;$B302,Лист2!$A:$A &amp; Лист2!$B:$B,Лист2!E:E)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25">
      <c r="A303" s="8">
        <v>43970</v>
      </c>
      <c r="B303" s="9" t="s">
        <v>21</v>
      </c>
      <c r="C303" s="9">
        <v>223597.5</v>
      </c>
      <c r="D303" s="9">
        <v>21945858</v>
      </c>
      <c r="E303" s="7" cm="1">
        <f t="array" ref="E303">_xlfn.XLOOKUP($A303&amp;$B303,Лист2!$A:$A &amp; Лист2!$B:$B,Лист2!C:C)</f>
        <v>60</v>
      </c>
      <c r="F303" s="7" cm="1">
        <f t="array" ref="F303">_xlfn.XLOOKUP($A303&amp;$B303,Лист2!$A:$A &amp; Лист2!$B:$B,Лист2!D:D)</f>
        <v>13867</v>
      </c>
      <c r="G303" s="7" cm="1">
        <f t="array" ref="G303">_xlfn.XLOOKUP($A303&amp;$B303,Лист2!$A:$A &amp; Лист2!$B:$B,Лист2!E:E)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 s="7" cm="1">
        <f t="array" ref="E304">_xlfn.XLOOKUP($A304&amp;$B304,Лист2!$A:$A &amp; Лист2!$B:$B,Лист2!C:C)</f>
        <v>60</v>
      </c>
      <c r="F304" s="7" cm="1">
        <f t="array" ref="F304">_xlfn.XLOOKUP($A304&amp;$B304,Лист2!$A:$A &amp; Лист2!$B:$B,Лист2!D:D)</f>
        <v>11698</v>
      </c>
      <c r="G304" s="7" cm="1">
        <f t="array" ref="G304">_xlfn.XLOOKUP($A304&amp;$B304,Лист2!$A:$A &amp; Лист2!$B:$B,Лист2!E:E)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25">
      <c r="A305" s="8">
        <v>43960</v>
      </c>
      <c r="B305" s="9" t="s">
        <v>21</v>
      </c>
      <c r="C305" s="9">
        <v>188319</v>
      </c>
      <c r="D305" s="9">
        <v>19218631.5</v>
      </c>
      <c r="E305" s="7" cm="1">
        <f t="array" ref="E305">_xlfn.XLOOKUP($A305&amp;$B305,Лист2!$A:$A &amp; Лист2!$B:$B,Лист2!C:C)</f>
        <v>59</v>
      </c>
      <c r="F305" s="7" cm="1">
        <f t="array" ref="F305">_xlfn.XLOOKUP($A305&amp;$B305,Лист2!$A:$A &amp; Лист2!$B:$B,Лист2!D:D)</f>
        <v>12016</v>
      </c>
      <c r="G305" s="7" cm="1">
        <f t="array" ref="G305">_xlfn.XLOOKUP($A305&amp;$B305,Лист2!$A:$A &amp; Лист2!$B:$B,Лист2!E:E)</f>
        <v>11137</v>
      </c>
      <c r="H305">
        <f t="shared" si="8"/>
        <v>325739.52000000002</v>
      </c>
      <c r="I305">
        <f t="shared" si="9"/>
        <v>19</v>
      </c>
    </row>
    <row r="306" spans="1:9" ht="14.25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 s="7" cm="1">
        <f t="array" ref="E306">_xlfn.XLOOKUP($A306&amp;$B306,Лист2!$A:$A &amp; Лист2!$B:$B,Лист2!C:C)</f>
        <v>59</v>
      </c>
      <c r="F306" s="7" cm="1">
        <f t="array" ref="F306">_xlfn.XLOOKUP($A306&amp;$B306,Лист2!$A:$A &amp; Лист2!$B:$B,Лист2!D:D)</f>
        <v>14423</v>
      </c>
      <c r="G306" s="7" cm="1">
        <f t="array" ref="G306">_xlfn.XLOOKUP($A306&amp;$B306,Лист2!$A:$A &amp; Лист2!$B:$B,Лист2!E:E)</f>
        <v>13432</v>
      </c>
      <c r="H306">
        <f t="shared" si="8"/>
        <v>411732.51</v>
      </c>
      <c r="I306">
        <f t="shared" si="9"/>
        <v>19</v>
      </c>
    </row>
    <row r="307" spans="1:9" ht="14.25" customHeight="1" x14ac:dyDescent="0.25">
      <c r="A307" s="8">
        <v>43950</v>
      </c>
      <c r="B307" s="9" t="s">
        <v>22</v>
      </c>
      <c r="C307" s="9">
        <v>203209.5</v>
      </c>
      <c r="D307" s="9">
        <v>20871391.5</v>
      </c>
      <c r="E307" s="7" cm="1">
        <f t="array" ref="E307">_xlfn.XLOOKUP($A307&amp;$B307,Лист2!$A:$A &amp; Лист2!$B:$B,Лист2!C:C)</f>
        <v>54</v>
      </c>
      <c r="F307" s="7" cm="1">
        <f t="array" ref="F307">_xlfn.XLOOKUP($A307&amp;$B307,Лист2!$A:$A &amp; Лист2!$B:$B,Лист2!D:D)</f>
        <v>12747</v>
      </c>
      <c r="G307" s="7" cm="1">
        <f t="array" ref="G307">_xlfn.XLOOKUP($A307&amp;$B307,Лист2!$A:$A &amp; Лист2!$B:$B,Лист2!E:E)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 s="7" cm="1">
        <f t="array" ref="E308">_xlfn.XLOOKUP($A308&amp;$B308,Лист2!$A:$A &amp; Лист2!$B:$B,Лист2!C:C)</f>
        <v>59</v>
      </c>
      <c r="F308" s="7" cm="1">
        <f t="array" ref="F308">_xlfn.XLOOKUP($A308&amp;$B308,Лист2!$A:$A &amp; Лист2!$B:$B,Лист2!D:D)</f>
        <v>12429</v>
      </c>
      <c r="G308" s="7" cm="1">
        <f t="array" ref="G308">_xlfn.XLOOKUP($A308&amp;$B308,Лист2!$A:$A &amp; Лист2!$B:$B,Лист2!E:E)</f>
        <v>11477</v>
      </c>
      <c r="H308">
        <f t="shared" si="8"/>
        <v>332633.28999999998</v>
      </c>
      <c r="I308">
        <f t="shared" si="9"/>
        <v>18</v>
      </c>
    </row>
    <row r="309" spans="1:9" ht="14.25" customHeight="1" x14ac:dyDescent="0.25">
      <c r="A309" s="8">
        <v>43977</v>
      </c>
      <c r="B309" s="9" t="s">
        <v>21</v>
      </c>
      <c r="C309" s="9">
        <v>244905</v>
      </c>
      <c r="D309" s="9">
        <v>25163431.5</v>
      </c>
      <c r="E309" s="7" cm="1">
        <f t="array" ref="E309">_xlfn.XLOOKUP($A309&amp;$B309,Лист2!$A:$A &amp; Лист2!$B:$B,Лист2!C:C)</f>
        <v>59</v>
      </c>
      <c r="F309" s="7" cm="1">
        <f t="array" ref="F309">_xlfn.XLOOKUP($A309&amp;$B309,Лист2!$A:$A &amp; Лист2!$B:$B,Лист2!D:D)</f>
        <v>15369</v>
      </c>
      <c r="G309" s="7" cm="1">
        <f t="array" ref="G309">_xlfn.XLOOKUP($A309&amp;$B309,Лист2!$A:$A &amp; Лист2!$B:$B,Лист2!E:E)</f>
        <v>14299</v>
      </c>
      <c r="H309">
        <f t="shared" si="8"/>
        <v>426498.84</v>
      </c>
      <c r="I309">
        <f t="shared" si="9"/>
        <v>22</v>
      </c>
    </row>
    <row r="310" spans="1:9" ht="14.25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 s="7" cm="1">
        <f t="array" ref="E310">_xlfn.XLOOKUP($A310&amp;$B310,Лист2!$A:$A &amp; Лист2!$B:$B,Лист2!C:C)</f>
        <v>59</v>
      </c>
      <c r="F310" s="7" cm="1">
        <f t="array" ref="F310">_xlfn.XLOOKUP($A310&amp;$B310,Лист2!$A:$A &amp; Лист2!$B:$B,Лист2!D:D)</f>
        <v>15222</v>
      </c>
      <c r="G310" s="7" cm="1">
        <f t="array" ref="G310">_xlfn.XLOOKUP($A310&amp;$B310,Лист2!$A:$A &amp; Лист2!$B:$B,Лист2!E:E)</f>
        <v>13873</v>
      </c>
      <c r="H310">
        <f t="shared" si="8"/>
        <v>430734.76</v>
      </c>
      <c r="I310">
        <f t="shared" si="9"/>
        <v>18</v>
      </c>
    </row>
    <row r="311" spans="1:9" ht="14.25" customHeight="1" x14ac:dyDescent="0.25">
      <c r="A311" s="8">
        <v>43963</v>
      </c>
      <c r="B311" s="9" t="s">
        <v>21</v>
      </c>
      <c r="C311" s="9">
        <v>192886.5</v>
      </c>
      <c r="D311" s="9">
        <v>19205179.5</v>
      </c>
      <c r="E311" s="7" cm="1">
        <f t="array" ref="E311">_xlfn.XLOOKUP($A311&amp;$B311,Лист2!$A:$A &amp; Лист2!$B:$B,Лист2!C:C)</f>
        <v>60</v>
      </c>
      <c r="F311" s="7" cm="1">
        <f t="array" ref="F311">_xlfn.XLOOKUP($A311&amp;$B311,Лист2!$A:$A &amp; Лист2!$B:$B,Лист2!D:D)</f>
        <v>12000</v>
      </c>
      <c r="G311" s="7" cm="1">
        <f t="array" ref="G311">_xlfn.XLOOKUP($A311&amp;$B311,Лист2!$A:$A &amp; Лист2!$B:$B,Лист2!E:E)</f>
        <v>11194</v>
      </c>
      <c r="H311">
        <f t="shared" si="8"/>
        <v>320086.33</v>
      </c>
      <c r="I311">
        <f t="shared" si="9"/>
        <v>20</v>
      </c>
    </row>
    <row r="312" spans="1:9" ht="14.25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 s="7" cm="1">
        <f t="array" ref="E312">_xlfn.XLOOKUP($A312&amp;$B312,Лист2!$A:$A &amp; Лист2!$B:$B,Лист2!C:C)</f>
        <v>60</v>
      </c>
      <c r="F312" s="7" cm="1">
        <f t="array" ref="F312">_xlfn.XLOOKUP($A312&amp;$B312,Лист2!$A:$A &amp; Лист2!$B:$B,Лист2!D:D)</f>
        <v>14005</v>
      </c>
      <c r="G312" s="7" cm="1">
        <f t="array" ref="G312">_xlfn.XLOOKUP($A312&amp;$B312,Лист2!$A:$A &amp; Лист2!$B:$B,Лист2!E:E)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25">
      <c r="A313" s="8">
        <v>43971</v>
      </c>
      <c r="B313" s="9" t="s">
        <v>21</v>
      </c>
      <c r="C313" s="9">
        <v>219622.5</v>
      </c>
      <c r="D313" s="9">
        <v>21959286</v>
      </c>
      <c r="E313" s="7" cm="1">
        <f t="array" ref="E313">_xlfn.XLOOKUP($A313&amp;$B313,Лист2!$A:$A &amp; Лист2!$B:$B,Лист2!C:C)</f>
        <v>60</v>
      </c>
      <c r="F313" s="7" cm="1">
        <f t="array" ref="F313">_xlfn.XLOOKUP($A313&amp;$B313,Лист2!$A:$A &amp; Лист2!$B:$B,Лист2!D:D)</f>
        <v>13792</v>
      </c>
      <c r="G313" s="7" cm="1">
        <f t="array" ref="G313">_xlfn.XLOOKUP($A313&amp;$B313,Лист2!$A:$A &amp; Лист2!$B:$B,Лист2!E:E)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 s="7" cm="1">
        <f t="array" ref="E314">_xlfn.XLOOKUP($A314&amp;$B314,Лист2!$A:$A &amp; Лист2!$B:$B,Лист2!C:C)</f>
        <v>59</v>
      </c>
      <c r="F314" s="7" cm="1">
        <f t="array" ref="F314">_xlfn.XLOOKUP($A314&amp;$B314,Лист2!$A:$A &amp; Лист2!$B:$B,Лист2!D:D)</f>
        <v>13469</v>
      </c>
      <c r="G314" s="7" cm="1">
        <f t="array" ref="G314">_xlfn.XLOOKUP($A314&amp;$B314,Лист2!$A:$A &amp; Лист2!$B:$B,Лист2!E:E)</f>
        <v>12486</v>
      </c>
      <c r="H314">
        <f t="shared" si="8"/>
        <v>371515.86</v>
      </c>
      <c r="I314">
        <f t="shared" si="9"/>
        <v>19</v>
      </c>
    </row>
    <row r="315" spans="1:9" ht="14.25" customHeight="1" x14ac:dyDescent="0.25">
      <c r="A315" s="8">
        <v>43949</v>
      </c>
      <c r="B315" s="9" t="s">
        <v>22</v>
      </c>
      <c r="C315" s="9">
        <v>195705</v>
      </c>
      <c r="D315" s="9">
        <v>20003263.5</v>
      </c>
      <c r="E315" s="7" cm="1">
        <f t="array" ref="E315">_xlfn.XLOOKUP($A315&amp;$B315,Лист2!$A:$A &amp; Лист2!$B:$B,Лист2!C:C)</f>
        <v>54</v>
      </c>
      <c r="F315" s="7" cm="1">
        <f t="array" ref="F315">_xlfn.XLOOKUP($A315&amp;$B315,Лист2!$A:$A &amp; Лист2!$B:$B,Лист2!D:D)</f>
        <v>12306</v>
      </c>
      <c r="G315" s="7" cm="1">
        <f t="array" ref="G315">_xlfn.XLOOKUP($A315&amp;$B315,Лист2!$A:$A &amp; Лист2!$B:$B,Лист2!E:E)</f>
        <v>11532</v>
      </c>
      <c r="H315">
        <f t="shared" si="8"/>
        <v>370430.81</v>
      </c>
      <c r="I315">
        <f t="shared" si="9"/>
        <v>18</v>
      </c>
    </row>
    <row r="316" spans="1:9" ht="14.25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 s="7" cm="1">
        <f t="array" ref="E316">_xlfn.XLOOKUP($A316&amp;$B316,Лист2!$A:$A &amp; Лист2!$B:$B,Лист2!C:C)</f>
        <v>60</v>
      </c>
      <c r="F316" s="7" cm="1">
        <f t="array" ref="F316">_xlfn.XLOOKUP($A316&amp;$B316,Лист2!$A:$A &amp; Лист2!$B:$B,Лист2!D:D)</f>
        <v>12007</v>
      </c>
      <c r="G316" s="7" cm="1">
        <f t="array" ref="G316">_xlfn.XLOOKUP($A316&amp;$B316,Лист2!$A:$A &amp; Лист2!$B:$B,Лист2!E:E)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25">
      <c r="A317" s="8">
        <v>43954</v>
      </c>
      <c r="B317" s="9" t="s">
        <v>21</v>
      </c>
      <c r="C317" s="9">
        <v>257215.5</v>
      </c>
      <c r="D317" s="9">
        <v>26492278.5</v>
      </c>
      <c r="E317" s="7" cm="1">
        <f t="array" ref="E317">_xlfn.XLOOKUP($A317&amp;$B317,Лист2!$A:$A &amp; Лист2!$B:$B,Лист2!C:C)</f>
        <v>59</v>
      </c>
      <c r="F317" s="7" cm="1">
        <f t="array" ref="F317">_xlfn.XLOOKUP($A317&amp;$B317,Лист2!$A:$A &amp; Лист2!$B:$B,Лист2!D:D)</f>
        <v>15277</v>
      </c>
      <c r="G317" s="7" cm="1">
        <f t="array" ref="G317">_xlfn.XLOOKUP($A317&amp;$B317,Лист2!$A:$A &amp; Лист2!$B:$B,Лист2!E:E)</f>
        <v>14163</v>
      </c>
      <c r="H317">
        <f t="shared" si="8"/>
        <v>449021.67</v>
      </c>
      <c r="I317">
        <f t="shared" si="9"/>
        <v>18</v>
      </c>
    </row>
    <row r="318" spans="1:9" ht="14.25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 s="7" cm="1">
        <f t="array" ref="E318">_xlfn.XLOOKUP($A318&amp;$B318,Лист2!$A:$A &amp; Лист2!$B:$B,Лист2!C:C)</f>
        <v>59</v>
      </c>
      <c r="F318" s="7" cm="1">
        <f t="array" ref="F318">_xlfn.XLOOKUP($A318&amp;$B318,Лист2!$A:$A &amp; Лист2!$B:$B,Лист2!D:D)</f>
        <v>14103</v>
      </c>
      <c r="G318" s="7" cm="1">
        <f t="array" ref="G318">_xlfn.XLOOKUP($A318&amp;$B318,Лист2!$A:$A &amp; Лист2!$B:$B,Лист2!E:E)</f>
        <v>13118</v>
      </c>
      <c r="H318">
        <f t="shared" si="8"/>
        <v>390389.69</v>
      </c>
      <c r="I318">
        <f t="shared" si="9"/>
        <v>19</v>
      </c>
    </row>
    <row r="319" spans="1:9" ht="14.25" customHeight="1" x14ac:dyDescent="0.25">
      <c r="A319" s="8">
        <v>43974</v>
      </c>
      <c r="B319" s="9" t="s">
        <v>21</v>
      </c>
      <c r="C319" s="9">
        <v>292018.5</v>
      </c>
      <c r="D319" s="9">
        <v>28590910.5</v>
      </c>
      <c r="E319" s="7" cm="1">
        <f t="array" ref="E319">_xlfn.XLOOKUP($A319&amp;$B319,Лист2!$A:$A &amp; Лист2!$B:$B,Лист2!C:C)</f>
        <v>60</v>
      </c>
      <c r="F319" s="7" cm="1">
        <f t="array" ref="F319">_xlfn.XLOOKUP($A319&amp;$B319,Лист2!$A:$A &amp; Лист2!$B:$B,Лист2!D:D)</f>
        <v>17295</v>
      </c>
      <c r="G319" s="7" cm="1">
        <f t="array" ref="G319">_xlfn.XLOOKUP($A319&amp;$B319,Лист2!$A:$A &amp; Лист2!$B:$B,Лист2!E:E)</f>
        <v>16010</v>
      </c>
      <c r="H319">
        <f t="shared" si="8"/>
        <v>476515.18</v>
      </c>
      <c r="I319">
        <f t="shared" si="9"/>
        <v>21</v>
      </c>
    </row>
    <row r="320" spans="1:9" ht="14.25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 s="7" cm="1">
        <f t="array" ref="E320">_xlfn.XLOOKUP($A320&amp;$B320,Лист2!$A:$A &amp; Лист2!$B:$B,Лист2!C:C)</f>
        <v>59</v>
      </c>
      <c r="F320" s="7" cm="1">
        <f t="array" ref="F320">_xlfn.XLOOKUP($A320&amp;$B320,Лист2!$A:$A &amp; Лист2!$B:$B,Лист2!D:D)</f>
        <v>12983</v>
      </c>
      <c r="G320" s="7" cm="1">
        <f t="array" ref="G320">_xlfn.XLOOKUP($A320&amp;$B320,Лист2!$A:$A &amp; Лист2!$B:$B,Лист2!E:E)</f>
        <v>12056</v>
      </c>
      <c r="H320">
        <f t="shared" si="8"/>
        <v>348860.06</v>
      </c>
      <c r="I320">
        <f t="shared" si="9"/>
        <v>22</v>
      </c>
    </row>
    <row r="321" spans="1:9" ht="14.25" customHeight="1" x14ac:dyDescent="0.25">
      <c r="A321" s="8">
        <v>43951</v>
      </c>
      <c r="B321" s="9" t="s">
        <v>21</v>
      </c>
      <c r="C321" s="9">
        <v>214386</v>
      </c>
      <c r="D321" s="9">
        <v>22530000</v>
      </c>
      <c r="E321" s="7" cm="1">
        <f t="array" ref="E321">_xlfn.XLOOKUP($A321&amp;$B321,Лист2!$A:$A &amp; Лист2!$B:$B,Лист2!C:C)</f>
        <v>59</v>
      </c>
      <c r="F321" s="7" cm="1">
        <f t="array" ref="F321">_xlfn.XLOOKUP($A321&amp;$B321,Лист2!$A:$A &amp; Лист2!$B:$B,Лист2!D:D)</f>
        <v>13251</v>
      </c>
      <c r="G321" s="7" cm="1">
        <f t="array" ref="G321">_xlfn.XLOOKUP($A321&amp;$B321,Лист2!$A:$A &amp; Лист2!$B:$B,Лист2!E:E)</f>
        <v>12255</v>
      </c>
      <c r="H321">
        <f t="shared" si="8"/>
        <v>381864.41</v>
      </c>
      <c r="I321">
        <f t="shared" si="9"/>
        <v>18</v>
      </c>
    </row>
    <row r="322" spans="1:9" ht="14.25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 s="7" cm="1">
        <f t="array" ref="E322">_xlfn.XLOOKUP($A322&amp;$B322,Лист2!$A:$A &amp; Лист2!$B:$B,Лист2!C:C)</f>
        <v>59</v>
      </c>
      <c r="F322" s="7" cm="1">
        <f t="array" ref="F322">_xlfn.XLOOKUP($A322&amp;$B322,Лист2!$A:$A &amp; Лист2!$B:$B,Лист2!D:D)</f>
        <v>14569</v>
      </c>
      <c r="G322" s="7" cm="1">
        <f t="array" ref="G322">_xlfn.XLOOKUP($A322&amp;$B322,Лист2!$A:$A &amp; Лист2!$B:$B,Лист2!E:E)</f>
        <v>13566</v>
      </c>
      <c r="H322">
        <f t="shared" si="8"/>
        <v>421871.26</v>
      </c>
      <c r="I322">
        <f t="shared" si="9"/>
        <v>19</v>
      </c>
    </row>
    <row r="323" spans="1:9" ht="14.25" customHeight="1" x14ac:dyDescent="0.25">
      <c r="A323" s="8">
        <v>43959</v>
      </c>
      <c r="B323" s="9" t="s">
        <v>21</v>
      </c>
      <c r="C323" s="9">
        <v>232701</v>
      </c>
      <c r="D323" s="9">
        <v>23881948.5</v>
      </c>
      <c r="E323" s="7" cm="1">
        <f t="array" ref="E323">_xlfn.XLOOKUP($A323&amp;$B323,Лист2!$A:$A &amp; Лист2!$B:$B,Лист2!C:C)</f>
        <v>59</v>
      </c>
      <c r="F323" s="7" cm="1">
        <f t="array" ref="F323">_xlfn.XLOOKUP($A323&amp;$B323,Лист2!$A:$A &amp; Лист2!$B:$B,Лист2!D:D)</f>
        <v>14098</v>
      </c>
      <c r="G323" s="7" cm="1">
        <f t="array" ref="G323">_xlfn.XLOOKUP($A323&amp;$B323,Лист2!$A:$A &amp; Лист2!$B:$B,Лист2!E:E)</f>
        <v>13106</v>
      </c>
      <c r="H323">
        <f t="shared" ref="H323:H386" si="10">ROUND(D323/E323,2)</f>
        <v>404778.79</v>
      </c>
      <c r="I323">
        <f t="shared" ref="I323:I386" si="11">WEEKNUM(A323,2)</f>
        <v>19</v>
      </c>
    </row>
    <row r="324" spans="1:9" ht="14.25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 s="7" cm="1">
        <f t="array" ref="E324">_xlfn.XLOOKUP($A324&amp;$B324,Лист2!$A:$A &amp; Лист2!$B:$B,Лист2!C:C)</f>
        <v>59</v>
      </c>
      <c r="F324" s="7" cm="1">
        <f t="array" ref="F324">_xlfn.XLOOKUP($A324&amp;$B324,Лист2!$A:$A &amp; Лист2!$B:$B,Лист2!D:D)</f>
        <v>13495</v>
      </c>
      <c r="G324" s="7" cm="1">
        <f t="array" ref="G324">_xlfn.XLOOKUP($A324&amp;$B324,Лист2!$A:$A &amp; Лист2!$B:$B,Лист2!E:E)</f>
        <v>12517</v>
      </c>
      <c r="H324">
        <f t="shared" si="10"/>
        <v>380680.17</v>
      </c>
      <c r="I324">
        <f t="shared" si="11"/>
        <v>19</v>
      </c>
    </row>
    <row r="325" spans="1:9" ht="14.25" customHeight="1" x14ac:dyDescent="0.25">
      <c r="A325" s="8">
        <v>43975</v>
      </c>
      <c r="B325" s="9" t="s">
        <v>21</v>
      </c>
      <c r="C325" s="9">
        <v>200029.5</v>
      </c>
      <c r="D325" s="9">
        <v>19959801</v>
      </c>
      <c r="E325" s="7" cm="1">
        <f t="array" ref="E325">_xlfn.XLOOKUP($A325&amp;$B325,Лист2!$A:$A &amp; Лист2!$B:$B,Лист2!C:C)</f>
        <v>60</v>
      </c>
      <c r="F325" s="7" cm="1">
        <f t="array" ref="F325">_xlfn.XLOOKUP($A325&amp;$B325,Лист2!$A:$A &amp; Лист2!$B:$B,Лист2!D:D)</f>
        <v>12822</v>
      </c>
      <c r="G325" s="7" cm="1">
        <f t="array" ref="G325">_xlfn.XLOOKUP($A325&amp;$B325,Лист2!$A:$A &amp; Лист2!$B:$B,Лист2!E:E)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 s="7" cm="1">
        <f t="array" ref="E326">_xlfn.XLOOKUP($A326&amp;$B326,Лист2!$A:$A &amp; Лист2!$B:$B,Лист2!C:C)</f>
        <v>54</v>
      </c>
      <c r="F326" s="7" cm="1">
        <f t="array" ref="F326">_xlfn.XLOOKUP($A326&amp;$B326,Лист2!$A:$A &amp; Лист2!$B:$B,Лист2!D:D)</f>
        <v>13170</v>
      </c>
      <c r="G326" s="7" cm="1">
        <f t="array" ref="G326">_xlfn.XLOOKUP($A326&amp;$B326,Лист2!$A:$A &amp; Лист2!$B:$B,Лист2!E:E)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25">
      <c r="A327" s="8">
        <v>43970</v>
      </c>
      <c r="B327" s="9" t="s">
        <v>22</v>
      </c>
      <c r="C327" s="9">
        <v>211453.5</v>
      </c>
      <c r="D327" s="9">
        <v>20590072.5</v>
      </c>
      <c r="E327" s="7" cm="1">
        <f t="array" ref="E327">_xlfn.XLOOKUP($A327&amp;$B327,Лист2!$A:$A &amp; Лист2!$B:$B,Лист2!C:C)</f>
        <v>54</v>
      </c>
      <c r="F327" s="7" cm="1">
        <f t="array" ref="F327">_xlfn.XLOOKUP($A327&amp;$B327,Лист2!$A:$A &amp; Лист2!$B:$B,Лист2!D:D)</f>
        <v>13070</v>
      </c>
      <c r="G327" s="7" cm="1">
        <f t="array" ref="G327">_xlfn.XLOOKUP($A327&amp;$B327,Лист2!$A:$A &amp; Лист2!$B:$B,Лист2!E:E)</f>
        <v>12244</v>
      </c>
      <c r="H327">
        <f t="shared" si="10"/>
        <v>381297.64</v>
      </c>
      <c r="I327">
        <f t="shared" si="11"/>
        <v>21</v>
      </c>
    </row>
    <row r="328" spans="1:9" ht="14.25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 s="7" cm="1">
        <f t="array" ref="E328">_xlfn.XLOOKUP($A328&amp;$B328,Лист2!$A:$A &amp; Лист2!$B:$B,Лист2!C:C)</f>
        <v>54</v>
      </c>
      <c r="F328" s="7" cm="1">
        <f t="array" ref="F328">_xlfn.XLOOKUP($A328&amp;$B328,Лист2!$A:$A &amp; Лист2!$B:$B,Лист2!D:D)</f>
        <v>11128</v>
      </c>
      <c r="G328" s="7" cm="1">
        <f t="array" ref="G328">_xlfn.XLOOKUP($A328&amp;$B328,Лист2!$A:$A &amp; Лист2!$B:$B,Лист2!E:E)</f>
        <v>10467</v>
      </c>
      <c r="H328">
        <f t="shared" si="10"/>
        <v>341649.83</v>
      </c>
      <c r="I328">
        <f t="shared" si="11"/>
        <v>20</v>
      </c>
    </row>
    <row r="329" spans="1:9" ht="14.25" customHeight="1" x14ac:dyDescent="0.25">
      <c r="A329" s="8">
        <v>43960</v>
      </c>
      <c r="B329" s="9" t="s">
        <v>22</v>
      </c>
      <c r="C329" s="9">
        <v>177976.5</v>
      </c>
      <c r="D329" s="9">
        <v>18085798.5</v>
      </c>
      <c r="E329" s="7" cm="1">
        <f t="array" ref="E329">_xlfn.XLOOKUP($A329&amp;$B329,Лист2!$A:$A &amp; Лист2!$B:$B,Лист2!C:C)</f>
        <v>54</v>
      </c>
      <c r="F329" s="7" cm="1">
        <f t="array" ref="F329">_xlfn.XLOOKUP($A329&amp;$B329,Лист2!$A:$A &amp; Лист2!$B:$B,Лист2!D:D)</f>
        <v>11288</v>
      </c>
      <c r="G329" s="7" cm="1">
        <f t="array" ref="G329">_xlfn.XLOOKUP($A329&amp;$B329,Лист2!$A:$A &amp; Лист2!$B:$B,Лист2!E:E)</f>
        <v>10492</v>
      </c>
      <c r="H329">
        <f t="shared" si="10"/>
        <v>334922.19</v>
      </c>
      <c r="I329">
        <f t="shared" si="11"/>
        <v>19</v>
      </c>
    </row>
    <row r="330" spans="1:9" ht="14.25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 s="7" cm="1">
        <f t="array" ref="E330">_xlfn.XLOOKUP($A330&amp;$B330,Лист2!$A:$A &amp; Лист2!$B:$B,Лист2!C:C)</f>
        <v>54</v>
      </c>
      <c r="F330" s="7" cm="1">
        <f t="array" ref="F330">_xlfn.XLOOKUP($A330&amp;$B330,Лист2!$A:$A &amp; Лист2!$B:$B,Лист2!D:D)</f>
        <v>13606</v>
      </c>
      <c r="G330" s="7" cm="1">
        <f t="array" ref="G330">_xlfn.XLOOKUP($A330&amp;$B330,Лист2!$A:$A &amp; Лист2!$B:$B,Лист2!E:E)</f>
        <v>12697</v>
      </c>
      <c r="H330">
        <f t="shared" si="10"/>
        <v>422163.47</v>
      </c>
      <c r="I330">
        <f t="shared" si="11"/>
        <v>19</v>
      </c>
    </row>
    <row r="331" spans="1:9" ht="14.25" customHeight="1" x14ac:dyDescent="0.25">
      <c r="A331" s="8">
        <v>43953</v>
      </c>
      <c r="B331" s="9" t="s">
        <v>22</v>
      </c>
      <c r="C331" s="9">
        <v>176397</v>
      </c>
      <c r="D331" s="9">
        <v>18625921.5</v>
      </c>
      <c r="E331" s="7" cm="1">
        <f t="array" ref="E331">_xlfn.XLOOKUP($A331&amp;$B331,Лист2!$A:$A &amp; Лист2!$B:$B,Лист2!C:C)</f>
        <v>54</v>
      </c>
      <c r="F331" s="7" cm="1">
        <f t="array" ref="F331">_xlfn.XLOOKUP($A331&amp;$B331,Лист2!$A:$A &amp; Лист2!$B:$B,Лист2!D:D)</f>
        <v>11622</v>
      </c>
      <c r="G331" s="7" cm="1">
        <f t="array" ref="G331">_xlfn.XLOOKUP($A331&amp;$B331,Лист2!$A:$A &amp; Лист2!$B:$B,Лист2!E:E)</f>
        <v>10754</v>
      </c>
      <c r="H331">
        <f t="shared" si="10"/>
        <v>344924.47</v>
      </c>
      <c r="I331">
        <f t="shared" si="11"/>
        <v>18</v>
      </c>
    </row>
    <row r="332" spans="1:9" ht="14.25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 s="7" cm="1">
        <f t="array" ref="E332">_xlfn.XLOOKUP($A332&amp;$B332,Лист2!$A:$A &amp; Лист2!$B:$B,Лист2!C:C)</f>
        <v>54</v>
      </c>
      <c r="F332" s="7" cm="1">
        <f t="array" ref="F332">_xlfn.XLOOKUP($A332&amp;$B332,Лист2!$A:$A &amp; Лист2!$B:$B,Лист2!D:D)</f>
        <v>14482</v>
      </c>
      <c r="G332" s="7" cm="1">
        <f t="array" ref="G332">_xlfn.XLOOKUP($A332&amp;$B332,Лист2!$A:$A &amp; Лист2!$B:$B,Лист2!E:E)</f>
        <v>13510</v>
      </c>
      <c r="H332">
        <f t="shared" si="10"/>
        <v>441784.17</v>
      </c>
      <c r="I332">
        <f t="shared" si="11"/>
        <v>22</v>
      </c>
    </row>
    <row r="333" spans="1:9" ht="14.25" customHeight="1" x14ac:dyDescent="0.25">
      <c r="A333" s="8">
        <v>43952</v>
      </c>
      <c r="B333" s="9" t="s">
        <v>22</v>
      </c>
      <c r="C333" s="9">
        <v>226540.5</v>
      </c>
      <c r="D333" s="9">
        <v>23953536</v>
      </c>
      <c r="E333" s="7" cm="1">
        <f t="array" ref="E333">_xlfn.XLOOKUP($A333&amp;$B333,Лист2!$A:$A &amp; Лист2!$B:$B,Лист2!C:C)</f>
        <v>54</v>
      </c>
      <c r="F333" s="7" cm="1">
        <f t="array" ref="F333">_xlfn.XLOOKUP($A333&amp;$B333,Лист2!$A:$A &amp; Лист2!$B:$B,Лист2!D:D)</f>
        <v>14205</v>
      </c>
      <c r="G333" s="7" cm="1">
        <f t="array" ref="G333">_xlfn.XLOOKUP($A333&amp;$B333,Лист2!$A:$A &amp; Лист2!$B:$B,Лист2!E:E)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 s="7" cm="1">
        <f t="array" ref="E334">_xlfn.XLOOKUP($A334&amp;$B334,Лист2!$A:$A &amp; Лист2!$B:$B,Лист2!C:C)</f>
        <v>54</v>
      </c>
      <c r="F334" s="7" cm="1">
        <f t="array" ref="F334">_xlfn.XLOOKUP($A334&amp;$B334,Лист2!$A:$A &amp; Лист2!$B:$B,Лист2!D:D)</f>
        <v>11614</v>
      </c>
      <c r="G334" s="7" cm="1">
        <f t="array" ref="G334">_xlfn.XLOOKUP($A334&amp;$B334,Лист2!$A:$A &amp; Лист2!$B:$B,Лист2!E:E)</f>
        <v>10862</v>
      </c>
      <c r="H334">
        <f t="shared" si="10"/>
        <v>346630.31</v>
      </c>
      <c r="I334">
        <f t="shared" si="11"/>
        <v>20</v>
      </c>
    </row>
    <row r="335" spans="1:9" ht="14.25" customHeight="1" x14ac:dyDescent="0.25">
      <c r="A335" s="8">
        <v>43972</v>
      </c>
      <c r="B335" s="9" t="s">
        <v>22</v>
      </c>
      <c r="C335" s="9">
        <v>213640.5</v>
      </c>
      <c r="D335" s="9">
        <v>21042673.5</v>
      </c>
      <c r="E335" s="7" cm="1">
        <f t="array" ref="E335">_xlfn.XLOOKUP($A335&amp;$B335,Лист2!$A:$A &amp; Лист2!$B:$B,Лист2!C:C)</f>
        <v>54</v>
      </c>
      <c r="F335" s="7" cm="1">
        <f t="array" ref="F335">_xlfn.XLOOKUP($A335&amp;$B335,Лист2!$A:$A &amp; Лист2!$B:$B,Лист2!D:D)</f>
        <v>13240</v>
      </c>
      <c r="G335" s="7" cm="1">
        <f t="array" ref="G335">_xlfn.XLOOKUP($A335&amp;$B335,Лист2!$A:$A &amp; Лист2!$B:$B,Лист2!E:E)</f>
        <v>12360</v>
      </c>
      <c r="H335">
        <f t="shared" si="10"/>
        <v>389679.14</v>
      </c>
      <c r="I335">
        <f t="shared" si="11"/>
        <v>21</v>
      </c>
    </row>
    <row r="336" spans="1:9" ht="14.25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 s="7" cm="1">
        <f t="array" ref="E336">_xlfn.XLOOKUP($A336&amp;$B336,Лист2!$A:$A &amp; Лист2!$B:$B,Лист2!C:C)</f>
        <v>54</v>
      </c>
      <c r="F336" s="7" cm="1">
        <f t="array" ref="F336">_xlfn.XLOOKUP($A336&amp;$B336,Лист2!$A:$A &amp; Лист2!$B:$B,Лист2!D:D)</f>
        <v>13298</v>
      </c>
      <c r="G336" s="7" cm="1">
        <f t="array" ref="G336">_xlfn.XLOOKUP($A336&amp;$B336,Лист2!$A:$A &amp; Лист2!$B:$B,Лист2!E:E)</f>
        <v>12428</v>
      </c>
      <c r="H336">
        <f t="shared" si="10"/>
        <v>396506.47</v>
      </c>
      <c r="I336">
        <f t="shared" si="11"/>
        <v>21</v>
      </c>
    </row>
    <row r="337" spans="1:9" ht="14.25" customHeight="1" x14ac:dyDescent="0.25">
      <c r="A337" s="8">
        <v>43956</v>
      </c>
      <c r="B337" s="9" t="s">
        <v>22</v>
      </c>
      <c r="C337" s="9">
        <v>203832</v>
      </c>
      <c r="D337" s="9">
        <v>20880142.5</v>
      </c>
      <c r="E337" s="7" cm="1">
        <f t="array" ref="E337">_xlfn.XLOOKUP($A337&amp;$B337,Лист2!$A:$A &amp; Лист2!$B:$B,Лист2!C:C)</f>
        <v>54</v>
      </c>
      <c r="F337" s="7" cm="1">
        <f t="array" ref="F337">_xlfn.XLOOKUP($A337&amp;$B337,Лист2!$A:$A &amp; Лист2!$B:$B,Лист2!D:D)</f>
        <v>12775</v>
      </c>
      <c r="G337" s="7" cm="1">
        <f t="array" ref="G337">_xlfn.XLOOKUP($A337&amp;$B337,Лист2!$A:$A &amp; Лист2!$B:$B,Лист2!E:E)</f>
        <v>11887</v>
      </c>
      <c r="H337">
        <f t="shared" si="10"/>
        <v>386669.31</v>
      </c>
      <c r="I337">
        <f t="shared" si="11"/>
        <v>19</v>
      </c>
    </row>
    <row r="338" spans="1:9" ht="14.25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 s="7" cm="1">
        <f t="array" ref="E338">_xlfn.XLOOKUP($A338&amp;$B338,Лист2!$A:$A &amp; Лист2!$B:$B,Лист2!C:C)</f>
        <v>54</v>
      </c>
      <c r="F338" s="7" cm="1">
        <f t="array" ref="F338">_xlfn.XLOOKUP($A338&amp;$B338,Лист2!$A:$A &amp; Лист2!$B:$B,Лист2!D:D)</f>
        <v>11522</v>
      </c>
      <c r="G338" s="7" cm="1">
        <f t="array" ref="G338">_xlfn.XLOOKUP($A338&amp;$B338,Лист2!$A:$A &amp; Лист2!$B:$B,Лист2!E:E)</f>
        <v>10803</v>
      </c>
      <c r="H338">
        <f t="shared" si="10"/>
        <v>347851.86</v>
      </c>
      <c r="I338">
        <f t="shared" si="11"/>
        <v>20</v>
      </c>
    </row>
    <row r="339" spans="1:9" ht="14.25" customHeight="1" x14ac:dyDescent="0.25">
      <c r="A339" s="8">
        <v>43982</v>
      </c>
      <c r="B339" s="9" t="s">
        <v>21</v>
      </c>
      <c r="C339" s="9">
        <v>215277</v>
      </c>
      <c r="D339" s="9">
        <v>21585316.5</v>
      </c>
      <c r="E339" s="7" cm="1">
        <f t="array" ref="E339">_xlfn.XLOOKUP($A339&amp;$B339,Лист2!$A:$A &amp; Лист2!$B:$B,Лист2!C:C)</f>
        <v>59</v>
      </c>
      <c r="F339" s="7" cm="1">
        <f t="array" ref="F339">_xlfn.XLOOKUP($A339&amp;$B339,Лист2!$A:$A &amp; Лист2!$B:$B,Лист2!D:D)</f>
        <v>13684</v>
      </c>
      <c r="G339" s="7" cm="1">
        <f t="array" ref="G339">_xlfn.XLOOKUP($A339&amp;$B339,Лист2!$A:$A &amp; Лист2!$B:$B,Лист2!E:E)</f>
        <v>12690</v>
      </c>
      <c r="H339">
        <f t="shared" si="10"/>
        <v>365852.82</v>
      </c>
      <c r="I339">
        <f t="shared" si="11"/>
        <v>22</v>
      </c>
    </row>
    <row r="340" spans="1:9" ht="14.25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 s="7" cm="1">
        <f t="array" ref="E340">_xlfn.XLOOKUP($A340&amp;$B340,Лист2!$A:$A &amp; Лист2!$B:$B,Лист2!C:C)</f>
        <v>54</v>
      </c>
      <c r="F340" s="7" cm="1">
        <f t="array" ref="F340">_xlfn.XLOOKUP($A340&amp;$B340,Лист2!$A:$A &amp; Лист2!$B:$B,Лист2!D:D)</f>
        <v>14823</v>
      </c>
      <c r="G340" s="7" cm="1">
        <f t="array" ref="G340">_xlfn.XLOOKUP($A340&amp;$B340,Лист2!$A:$A &amp; Лист2!$B:$B,Лист2!E:E)</f>
        <v>13751</v>
      </c>
      <c r="H340">
        <f t="shared" si="10"/>
        <v>472575.42</v>
      </c>
      <c r="I340">
        <f t="shared" si="11"/>
        <v>18</v>
      </c>
    </row>
    <row r="341" spans="1:9" ht="14.25" customHeight="1" x14ac:dyDescent="0.25">
      <c r="A341" s="8">
        <v>43981</v>
      </c>
      <c r="B341" s="9" t="s">
        <v>21</v>
      </c>
      <c r="C341" s="9">
        <v>246414</v>
      </c>
      <c r="D341" s="9">
        <v>24527245.5</v>
      </c>
      <c r="E341" s="7" cm="1">
        <f t="array" ref="E341">_xlfn.XLOOKUP($A341&amp;$B341,Лист2!$A:$A &amp; Лист2!$B:$B,Лист2!C:C)</f>
        <v>59</v>
      </c>
      <c r="F341" s="7" cm="1">
        <f t="array" ref="F341">_xlfn.XLOOKUP($A341&amp;$B341,Лист2!$A:$A &amp; Лист2!$B:$B,Лист2!D:D)</f>
        <v>15030</v>
      </c>
      <c r="G341" s="7" cm="1">
        <f t="array" ref="G341">_xlfn.XLOOKUP($A341&amp;$B341,Лист2!$A:$A &amp; Лист2!$B:$B,Лист2!E:E)</f>
        <v>13956</v>
      </c>
      <c r="H341">
        <f t="shared" si="10"/>
        <v>415716.03</v>
      </c>
      <c r="I341">
        <f t="shared" si="11"/>
        <v>22</v>
      </c>
    </row>
    <row r="342" spans="1:9" ht="14.25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 s="7" cm="1">
        <f t="array" ref="E342">_xlfn.XLOOKUP($A342&amp;$B342,Лист2!$A:$A &amp; Лист2!$B:$B,Лист2!C:C)</f>
        <v>54</v>
      </c>
      <c r="F342" s="7" cm="1">
        <f t="array" ref="F342">_xlfn.XLOOKUP($A342&amp;$B342,Лист2!$A:$A &amp; Лист2!$B:$B,Лист2!D:D)</f>
        <v>13406</v>
      </c>
      <c r="G342" s="7" cm="1">
        <f t="array" ref="G342">_xlfn.XLOOKUP($A342&amp;$B342,Лист2!$A:$A &amp; Лист2!$B:$B,Лист2!E:E)</f>
        <v>12518</v>
      </c>
      <c r="H342">
        <f t="shared" si="10"/>
        <v>409748.97</v>
      </c>
      <c r="I342">
        <f t="shared" si="11"/>
        <v>19</v>
      </c>
    </row>
    <row r="343" spans="1:9" ht="14.25" customHeight="1" x14ac:dyDescent="0.25">
      <c r="A343" s="8">
        <v>43974</v>
      </c>
      <c r="B343" s="9" t="s">
        <v>22</v>
      </c>
      <c r="C343" s="9">
        <v>275793</v>
      </c>
      <c r="D343" s="9">
        <v>26806626</v>
      </c>
      <c r="E343" s="7" cm="1">
        <f t="array" ref="E343">_xlfn.XLOOKUP($A343&amp;$B343,Лист2!$A:$A &amp; Лист2!$B:$B,Лист2!C:C)</f>
        <v>54</v>
      </c>
      <c r="F343" s="7" cm="1">
        <f t="array" ref="F343">_xlfn.XLOOKUP($A343&amp;$B343,Лист2!$A:$A &amp; Лист2!$B:$B,Лист2!D:D)</f>
        <v>16221</v>
      </c>
      <c r="G343" s="7" cm="1">
        <f t="array" ref="G343">_xlfn.XLOOKUP($A343&amp;$B343,Лист2!$A:$A &amp; Лист2!$B:$B,Лист2!E:E)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 s="7" cm="1">
        <f t="array" ref="E344">_xlfn.XLOOKUP($A344&amp;$B344,Лист2!$A:$A &amp; Лист2!$B:$B,Лист2!C:C)</f>
        <v>60</v>
      </c>
      <c r="F344" s="7" cm="1">
        <f t="array" ref="F344">_xlfn.XLOOKUP($A344&amp;$B344,Лист2!$A:$A &amp; Лист2!$B:$B,Лист2!D:D)</f>
        <v>12854</v>
      </c>
      <c r="G344" s="7" cm="1">
        <f t="array" ref="G344">_xlfn.XLOOKUP($A344&amp;$B344,Лист2!$A:$A &amp; Лист2!$B:$B,Лист2!E:E)</f>
        <v>11954</v>
      </c>
      <c r="H344">
        <f t="shared" si="10"/>
        <v>342262.23</v>
      </c>
      <c r="I344">
        <f t="shared" si="11"/>
        <v>22</v>
      </c>
    </row>
    <row r="345" spans="1:9" ht="14.25" customHeight="1" x14ac:dyDescent="0.25">
      <c r="A345" s="8">
        <v>43976</v>
      </c>
      <c r="B345" s="9" t="s">
        <v>22</v>
      </c>
      <c r="C345" s="9">
        <v>192948</v>
      </c>
      <c r="D345" s="9">
        <v>19806927</v>
      </c>
      <c r="E345" s="7" cm="1">
        <f t="array" ref="E345">_xlfn.XLOOKUP($A345&amp;$B345,Лист2!$A:$A &amp; Лист2!$B:$B,Лист2!C:C)</f>
        <v>54</v>
      </c>
      <c r="F345" s="7" cm="1">
        <f t="array" ref="F345">_xlfn.XLOOKUP($A345&amp;$B345,Лист2!$A:$A &amp; Лист2!$B:$B,Лист2!D:D)</f>
        <v>12336</v>
      </c>
      <c r="G345" s="7" cm="1">
        <f t="array" ref="G345">_xlfn.XLOOKUP($A345&amp;$B345,Лист2!$A:$A &amp; Лист2!$B:$B,Лист2!E:E)</f>
        <v>11519</v>
      </c>
      <c r="H345">
        <f t="shared" si="10"/>
        <v>366794.94</v>
      </c>
      <c r="I345">
        <f t="shared" si="11"/>
        <v>22</v>
      </c>
    </row>
    <row r="346" spans="1:9" ht="14.25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 s="7" cm="1">
        <f t="array" ref="E346">_xlfn.XLOOKUP($A346&amp;$B346,Лист2!$A:$A &amp; Лист2!$B:$B,Лист2!C:C)</f>
        <v>54</v>
      </c>
      <c r="F346" s="7" cm="1">
        <f t="array" ref="F346">_xlfn.XLOOKUP($A346&amp;$B346,Лист2!$A:$A &amp; Лист2!$B:$B,Лист2!D:D)</f>
        <v>12817</v>
      </c>
      <c r="G346" s="7" cm="1">
        <f t="array" ref="G346">_xlfn.XLOOKUP($A346&amp;$B346,Лист2!$A:$A &amp; Лист2!$B:$B,Лист2!E:E)</f>
        <v>11865</v>
      </c>
      <c r="H346">
        <f t="shared" si="10"/>
        <v>402601.11</v>
      </c>
      <c r="I346">
        <f t="shared" si="11"/>
        <v>18</v>
      </c>
    </row>
    <row r="347" spans="1:9" ht="14.25" customHeight="1" x14ac:dyDescent="0.25">
      <c r="A347" s="8">
        <v>43961</v>
      </c>
      <c r="B347" s="9" t="s">
        <v>22</v>
      </c>
      <c r="C347" s="9">
        <v>231559.5</v>
      </c>
      <c r="D347" s="9">
        <v>23443725</v>
      </c>
      <c r="E347" s="7" cm="1">
        <f t="array" ref="E347">_xlfn.XLOOKUP($A347&amp;$B347,Лист2!$A:$A &amp; Лист2!$B:$B,Лист2!C:C)</f>
        <v>54</v>
      </c>
      <c r="F347" s="7" cm="1">
        <f t="array" ref="F347">_xlfn.XLOOKUP($A347&amp;$B347,Лист2!$A:$A &amp; Лист2!$B:$B,Лист2!D:D)</f>
        <v>13832</v>
      </c>
      <c r="G347" s="7" cm="1">
        <f t="array" ref="G347">_xlfn.XLOOKUP($A347&amp;$B347,Лист2!$A:$A &amp; Лист2!$B:$B,Лист2!E:E)</f>
        <v>12864</v>
      </c>
      <c r="H347">
        <f t="shared" si="10"/>
        <v>434143.06</v>
      </c>
      <c r="I347">
        <f t="shared" si="11"/>
        <v>19</v>
      </c>
    </row>
    <row r="348" spans="1:9" ht="14.25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 s="7" cm="1">
        <f t="array" ref="E348">_xlfn.XLOOKUP($A348&amp;$B348,Лист2!$A:$A &amp; Лист2!$B:$B,Лист2!C:C)</f>
        <v>54</v>
      </c>
      <c r="F348" s="7" cm="1">
        <f t="array" ref="F348">_xlfn.XLOOKUP($A348&amp;$B348,Лист2!$A:$A &amp; Лист2!$B:$B,Лист2!D:D)</f>
        <v>13563</v>
      </c>
      <c r="G348" s="7" cm="1">
        <f t="array" ref="G348">_xlfn.XLOOKUP($A348&amp;$B348,Лист2!$A:$A &amp; Лист2!$B:$B,Лист2!E:E)</f>
        <v>12604</v>
      </c>
      <c r="H348">
        <f t="shared" si="10"/>
        <v>423075.53</v>
      </c>
      <c r="I348">
        <f t="shared" si="11"/>
        <v>19</v>
      </c>
    </row>
    <row r="349" spans="1:9" ht="14.25" customHeight="1" x14ac:dyDescent="0.25">
      <c r="A349" s="8">
        <v>43958</v>
      </c>
      <c r="B349" s="9" t="s">
        <v>22</v>
      </c>
      <c r="C349" s="9">
        <v>209415</v>
      </c>
      <c r="D349" s="9">
        <v>21463023</v>
      </c>
      <c r="E349" s="7" cm="1">
        <f t="array" ref="E349">_xlfn.XLOOKUP($A349&amp;$B349,Лист2!$A:$A &amp; Лист2!$B:$B,Лист2!C:C)</f>
        <v>54</v>
      </c>
      <c r="F349" s="7" cm="1">
        <f t="array" ref="F349">_xlfn.XLOOKUP($A349&amp;$B349,Лист2!$A:$A &amp; Лист2!$B:$B,Лист2!D:D)</f>
        <v>12743</v>
      </c>
      <c r="G349" s="7" cm="1">
        <f t="array" ref="G349">_xlfn.XLOOKUP($A349&amp;$B349,Лист2!$A:$A &amp; Лист2!$B:$B,Лист2!E:E)</f>
        <v>11858</v>
      </c>
      <c r="H349">
        <f t="shared" si="10"/>
        <v>397463.39</v>
      </c>
      <c r="I349">
        <f t="shared" si="11"/>
        <v>19</v>
      </c>
    </row>
    <row r="350" spans="1:9" ht="14.25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 s="7" cm="1">
        <f t="array" ref="E350">_xlfn.XLOOKUP($A350&amp;$B350,Лист2!$A:$A &amp; Лист2!$B:$B,Лист2!C:C)</f>
        <v>54</v>
      </c>
      <c r="F350" s="7" cm="1">
        <f t="array" ref="F350">_xlfn.XLOOKUP($A350&amp;$B350,Лист2!$A:$A &amp; Лист2!$B:$B,Лист2!D:D)</f>
        <v>12211</v>
      </c>
      <c r="G350" s="7" cm="1">
        <f t="array" ref="G350">_xlfn.XLOOKUP($A350&amp;$B350,Лист2!$A:$A &amp; Лист2!$B:$B,Лист2!E:E)</f>
        <v>11427</v>
      </c>
      <c r="H350">
        <f t="shared" si="10"/>
        <v>353168.83</v>
      </c>
      <c r="I350">
        <f t="shared" si="11"/>
        <v>21</v>
      </c>
    </row>
    <row r="351" spans="1:9" ht="14.25" customHeight="1" x14ac:dyDescent="0.25">
      <c r="A351" s="8">
        <v>43950</v>
      </c>
      <c r="B351" s="9" t="s">
        <v>23</v>
      </c>
      <c r="C351" s="9">
        <v>12250.5</v>
      </c>
      <c r="D351" s="9">
        <v>981519</v>
      </c>
      <c r="E351" s="7" cm="1">
        <f t="array" ref="E351">_xlfn.XLOOKUP($A351&amp;$B351,Лист2!$A:$A &amp; Лист2!$B:$B,Лист2!C:C)</f>
        <v>15</v>
      </c>
      <c r="F351" s="7" cm="1">
        <f t="array" ref="F351">_xlfn.XLOOKUP($A351&amp;$B351,Лист2!$A:$A &amp; Лист2!$B:$B,Лист2!D:D)</f>
        <v>659</v>
      </c>
      <c r="G351" s="7" cm="1">
        <f t="array" ref="G351">_xlfn.XLOOKUP($A351&amp;$B351,Лист2!$A:$A &amp; Лист2!$B:$B,Лист2!E:E)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 s="7" cm="1">
        <f t="array" ref="E352">_xlfn.XLOOKUP($A352&amp;$B352,Лист2!$A:$A &amp; Лист2!$B:$B,Лист2!C:C)</f>
        <v>15</v>
      </c>
      <c r="F352" s="7" cm="1">
        <f t="array" ref="F352">_xlfn.XLOOKUP($A352&amp;$B352,Лист2!$A:$A &amp; Лист2!$B:$B,Лист2!D:D)</f>
        <v>636</v>
      </c>
      <c r="G352" s="7" cm="1">
        <f t="array" ref="G352">_xlfn.XLOOKUP($A352&amp;$B352,Лист2!$A:$A &amp; Лист2!$B:$B,Лист2!E:E)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25">
      <c r="A353" s="8">
        <v>43982</v>
      </c>
      <c r="B353" s="9" t="s">
        <v>22</v>
      </c>
      <c r="C353" s="9">
        <v>206758.5</v>
      </c>
      <c r="D353" s="9">
        <v>20717248.5</v>
      </c>
      <c r="E353" s="7" cm="1">
        <f t="array" ref="E353">_xlfn.XLOOKUP($A353&amp;$B353,Лист2!$A:$A &amp; Лист2!$B:$B,Лист2!C:C)</f>
        <v>54</v>
      </c>
      <c r="F353" s="7" cm="1">
        <f t="array" ref="F353">_xlfn.XLOOKUP($A353&amp;$B353,Лист2!$A:$A &amp; Лист2!$B:$B,Лист2!D:D)</f>
        <v>13106</v>
      </c>
      <c r="G353" s="7" cm="1">
        <f t="array" ref="G353">_xlfn.XLOOKUP($A353&amp;$B353,Лист2!$A:$A &amp; Лист2!$B:$B,Лист2!E:E)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 s="7" cm="1">
        <f t="array" ref="E354">_xlfn.XLOOKUP($A354&amp;$B354,Лист2!$A:$A &amp; Лист2!$B:$B,Лист2!C:C)</f>
        <v>54</v>
      </c>
      <c r="F354" s="7" cm="1">
        <f t="array" ref="F354">_xlfn.XLOOKUP($A354&amp;$B354,Лист2!$A:$A &amp; Лист2!$B:$B,Лист2!D:D)</f>
        <v>14590</v>
      </c>
      <c r="G354" s="7" cm="1">
        <f t="array" ref="G354">_xlfn.XLOOKUP($A354&amp;$B354,Лист2!$A:$A &amp; Лист2!$B:$B,Лист2!E:E)</f>
        <v>13551</v>
      </c>
      <c r="H354">
        <f t="shared" si="10"/>
        <v>447258.89</v>
      </c>
      <c r="I354">
        <f t="shared" si="11"/>
        <v>22</v>
      </c>
    </row>
    <row r="355" spans="1:9" ht="14.25" customHeight="1" x14ac:dyDescent="0.25">
      <c r="A355" s="8">
        <v>43979</v>
      </c>
      <c r="B355" s="9" t="s">
        <v>22</v>
      </c>
      <c r="C355" s="9">
        <v>191641.5</v>
      </c>
      <c r="D355" s="9">
        <v>19549036.5</v>
      </c>
      <c r="E355" s="7" cm="1">
        <f t="array" ref="E355">_xlfn.XLOOKUP($A355&amp;$B355,Лист2!$A:$A &amp; Лист2!$B:$B,Лист2!C:C)</f>
        <v>54</v>
      </c>
      <c r="F355" s="7" cm="1">
        <f t="array" ref="F355">_xlfn.XLOOKUP($A355&amp;$B355,Лист2!$A:$A &amp; Лист2!$B:$B,Лист2!D:D)</f>
        <v>12409</v>
      </c>
      <c r="G355" s="7" cm="1">
        <f t="array" ref="G355">_xlfn.XLOOKUP($A355&amp;$B355,Лист2!$A:$A &amp; Лист2!$B:$B,Лист2!E:E)</f>
        <v>11582</v>
      </c>
      <c r="H355">
        <f t="shared" si="10"/>
        <v>362019.19</v>
      </c>
      <c r="I355">
        <f t="shared" si="11"/>
        <v>22</v>
      </c>
    </row>
    <row r="356" spans="1:9" ht="14.25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 s="7" cm="1">
        <f t="array" ref="E356">_xlfn.XLOOKUP($A356&amp;$B356,Лист2!$A:$A &amp; Лист2!$B:$B,Лист2!C:C)</f>
        <v>16</v>
      </c>
      <c r="F356" s="7" cm="1">
        <f t="array" ref="F356">_xlfn.XLOOKUP($A356&amp;$B356,Лист2!$A:$A &amp; Лист2!$B:$B,Лист2!D:D)</f>
        <v>920</v>
      </c>
      <c r="G356" s="7" cm="1">
        <f t="array" ref="G356">_xlfn.XLOOKUP($A356&amp;$B356,Лист2!$A:$A &amp; Лист2!$B:$B,Лист2!E:E)</f>
        <v>818</v>
      </c>
      <c r="H356">
        <f t="shared" si="10"/>
        <v>82271.91</v>
      </c>
      <c r="I356">
        <f t="shared" si="11"/>
        <v>20</v>
      </c>
    </row>
    <row r="357" spans="1:9" ht="14.25" customHeight="1" x14ac:dyDescent="0.25">
      <c r="A357" s="8">
        <v>43970</v>
      </c>
      <c r="B357" s="9" t="s">
        <v>23</v>
      </c>
      <c r="C357" s="9">
        <v>14427</v>
      </c>
      <c r="D357" s="9">
        <v>1126810.5</v>
      </c>
      <c r="E357" s="7" cm="1">
        <f t="array" ref="E357">_xlfn.XLOOKUP($A357&amp;$B357,Лист2!$A:$A &amp; Лист2!$B:$B,Лист2!C:C)</f>
        <v>17</v>
      </c>
      <c r="F357" s="7" cm="1">
        <f t="array" ref="F357">_xlfn.XLOOKUP($A357&amp;$B357,Лист2!$A:$A &amp; Лист2!$B:$B,Лист2!D:D)</f>
        <v>857</v>
      </c>
      <c r="G357" s="7" cm="1">
        <f t="array" ref="G357">_xlfn.XLOOKUP($A357&amp;$B357,Лист2!$A:$A &amp; Лист2!$B:$B,Лист2!E:E)</f>
        <v>757</v>
      </c>
      <c r="H357">
        <f t="shared" si="10"/>
        <v>66282.97</v>
      </c>
      <c r="I357">
        <f t="shared" si="11"/>
        <v>21</v>
      </c>
    </row>
    <row r="358" spans="1:9" ht="14.25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 s="7" cm="1">
        <f t="array" ref="E358">_xlfn.XLOOKUP($A358&amp;$B358,Лист2!$A:$A &amp; Лист2!$B:$B,Лист2!C:C)</f>
        <v>16</v>
      </c>
      <c r="F358" s="7" cm="1">
        <f t="array" ref="F358">_xlfn.XLOOKUP($A358&amp;$B358,Лист2!$A:$A &amp; Лист2!$B:$B,Лист2!D:D)</f>
        <v>859</v>
      </c>
      <c r="G358" s="7" cm="1">
        <f t="array" ref="G358">_xlfn.XLOOKUP($A358&amp;$B358,Лист2!$A:$A &amp; Лист2!$B:$B,Лист2!E:E)</f>
        <v>746</v>
      </c>
      <c r="H358">
        <f t="shared" si="10"/>
        <v>72345.56</v>
      </c>
      <c r="I358">
        <f t="shared" si="11"/>
        <v>20</v>
      </c>
    </row>
    <row r="359" spans="1:9" ht="14.25" customHeight="1" x14ac:dyDescent="0.25">
      <c r="A359" s="8">
        <v>43960</v>
      </c>
      <c r="B359" s="9" t="s">
        <v>23</v>
      </c>
      <c r="C359" s="9">
        <v>11745</v>
      </c>
      <c r="D359" s="9">
        <v>955801.5</v>
      </c>
      <c r="E359" s="7" cm="1">
        <f t="array" ref="E359">_xlfn.XLOOKUP($A359&amp;$B359,Лист2!$A:$A &amp; Лист2!$B:$B,Лист2!C:C)</f>
        <v>15</v>
      </c>
      <c r="F359" s="7" cm="1">
        <f t="array" ref="F359">_xlfn.XLOOKUP($A359&amp;$B359,Лист2!$A:$A &amp; Лист2!$B:$B,Лист2!D:D)</f>
        <v>654</v>
      </c>
      <c r="G359" s="7" cm="1">
        <f t="array" ref="G359">_xlfn.XLOOKUP($A359&amp;$B359,Лист2!$A:$A &amp; Лист2!$B:$B,Лист2!E:E)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 s="7" cm="1">
        <f t="array" ref="E360">_xlfn.XLOOKUP($A360&amp;$B360,Лист2!$A:$A &amp; Лист2!$B:$B,Лист2!C:C)</f>
        <v>15</v>
      </c>
      <c r="F360" s="7" cm="1">
        <f t="array" ref="F360">_xlfn.XLOOKUP($A360&amp;$B360,Лист2!$A:$A &amp; Лист2!$B:$B,Лист2!D:D)</f>
        <v>622</v>
      </c>
      <c r="G360" s="7" cm="1">
        <f t="array" ref="G360">_xlfn.XLOOKUP($A360&amp;$B360,Лист2!$A:$A &amp; Лист2!$B:$B,Лист2!E:E)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25">
      <c r="A361" s="8">
        <v>43953</v>
      </c>
      <c r="B361" s="9" t="s">
        <v>23</v>
      </c>
      <c r="C361" s="9">
        <v>10018.5</v>
      </c>
      <c r="D361" s="9">
        <v>816859.5</v>
      </c>
      <c r="E361" s="7" cm="1">
        <f t="array" ref="E361">_xlfn.XLOOKUP($A361&amp;$B361,Лист2!$A:$A &amp; Лист2!$B:$B,Лист2!C:C)</f>
        <v>15</v>
      </c>
      <c r="F361" s="7" cm="1">
        <f t="array" ref="F361">_xlfn.XLOOKUP($A361&amp;$B361,Лист2!$A:$A &amp; Лист2!$B:$B,Лист2!D:D)</f>
        <v>567</v>
      </c>
      <c r="G361" s="7" cm="1">
        <f t="array" ref="G361">_xlfn.XLOOKUP($A361&amp;$B361,Лист2!$A:$A &amp; Лист2!$B:$B,Лист2!E:E)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 s="7" cm="1">
        <f t="array" ref="E362">_xlfn.XLOOKUP($A362&amp;$B362,Лист2!$A:$A &amp; Лист2!$B:$B,Лист2!C:C)</f>
        <v>7</v>
      </c>
      <c r="F362" s="7" cm="1">
        <f t="array" ref="F362">_xlfn.XLOOKUP($A362&amp;$B362,Лист2!$A:$A &amp; Лист2!$B:$B,Лист2!D:D)</f>
        <v>577</v>
      </c>
      <c r="G362" s="7" cm="1">
        <f t="array" ref="G362">_xlfn.XLOOKUP($A362&amp;$B362,Лист2!$A:$A &amp; Лист2!$B:$B,Лист2!E:E)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25">
      <c r="A363" s="8">
        <v>43952</v>
      </c>
      <c r="B363" s="9" t="s">
        <v>23</v>
      </c>
      <c r="C363" s="9">
        <v>13644</v>
      </c>
      <c r="D363" s="9">
        <v>1134444</v>
      </c>
      <c r="E363" s="7" cm="1">
        <f t="array" ref="E363">_xlfn.XLOOKUP($A363&amp;$B363,Лист2!$A:$A &amp; Лист2!$B:$B,Лист2!C:C)</f>
        <v>15</v>
      </c>
      <c r="F363" s="7" cm="1">
        <f t="array" ref="F363">_xlfn.XLOOKUP($A363&amp;$B363,Лист2!$A:$A &amp; Лист2!$B:$B,Лист2!D:D)</f>
        <v>721</v>
      </c>
      <c r="G363" s="7" cm="1">
        <f t="array" ref="G363">_xlfn.XLOOKUP($A363&amp;$B363,Лист2!$A:$A &amp; Лист2!$B:$B,Лист2!E:E)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 s="7" cm="1">
        <f t="array" ref="E364">_xlfn.XLOOKUP($A364&amp;$B364,Лист2!$A:$A &amp; Лист2!$B:$B,Лист2!C:C)</f>
        <v>15</v>
      </c>
      <c r="F364" s="7" cm="1">
        <f t="array" ref="F364">_xlfn.XLOOKUP($A364&amp;$B364,Лист2!$A:$A &amp; Лист2!$B:$B,Лист2!D:D)</f>
        <v>750</v>
      </c>
      <c r="G364" s="7" cm="1">
        <f t="array" ref="G364">_xlfn.XLOOKUP($A364&amp;$B364,Лист2!$A:$A &amp; Лист2!$B:$B,Лист2!E:E)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25">
      <c r="A365" s="8">
        <v>43972</v>
      </c>
      <c r="B365" s="9" t="s">
        <v>23</v>
      </c>
      <c r="C365" s="9">
        <v>14182.5</v>
      </c>
      <c r="D365" s="9">
        <v>1172574</v>
      </c>
      <c r="E365" s="7" cm="1">
        <f t="array" ref="E365">_xlfn.XLOOKUP($A365&amp;$B365,Лист2!$A:$A &amp; Лист2!$B:$B,Лист2!C:C)</f>
        <v>18</v>
      </c>
      <c r="F365" s="7" cm="1">
        <f t="array" ref="F365">_xlfn.XLOOKUP($A365&amp;$B365,Лист2!$A:$A &amp; Лист2!$B:$B,Лист2!D:D)</f>
        <v>888</v>
      </c>
      <c r="G365" s="7" cm="1">
        <f t="array" ref="G365">_xlfn.XLOOKUP($A365&amp;$B365,Лист2!$A:$A &amp; Лист2!$B:$B,Лист2!E:E)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 s="7" cm="1">
        <f t="array" ref="E366">_xlfn.XLOOKUP($A366&amp;$B366,Лист2!$A:$A &amp; Лист2!$B:$B,Лист2!C:C)</f>
        <v>17</v>
      </c>
      <c r="F366" s="7" cm="1">
        <f t="array" ref="F366">_xlfn.XLOOKUP($A366&amp;$B366,Лист2!$A:$A &amp; Лист2!$B:$B,Лист2!D:D)</f>
        <v>890</v>
      </c>
      <c r="G366" s="7" cm="1">
        <f t="array" ref="G366">_xlfn.XLOOKUP($A366&amp;$B366,Лист2!$A:$A &amp; Лист2!$B:$B,Лист2!E:E)</f>
        <v>794</v>
      </c>
      <c r="H366">
        <f t="shared" si="10"/>
        <v>71632.320000000007</v>
      </c>
      <c r="I366">
        <f t="shared" si="11"/>
        <v>21</v>
      </c>
    </row>
    <row r="367" spans="1:9" ht="14.25" customHeight="1" x14ac:dyDescent="0.25">
      <c r="A367" s="8">
        <v>43956</v>
      </c>
      <c r="B367" s="9" t="s">
        <v>23</v>
      </c>
      <c r="C367" s="9">
        <v>13941</v>
      </c>
      <c r="D367" s="9">
        <v>1145575.5</v>
      </c>
      <c r="E367" s="7" cm="1">
        <f t="array" ref="E367">_xlfn.XLOOKUP($A367&amp;$B367,Лист2!$A:$A &amp; Лист2!$B:$B,Лист2!C:C)</f>
        <v>15</v>
      </c>
      <c r="F367" s="7" cm="1">
        <f t="array" ref="F367">_xlfn.XLOOKUP($A367&amp;$B367,Лист2!$A:$A &amp; Лист2!$B:$B,Лист2!D:D)</f>
        <v>750</v>
      </c>
      <c r="G367" s="7" cm="1">
        <f t="array" ref="G367">_xlfn.XLOOKUP($A367&amp;$B367,Лист2!$A:$A &amp; Лист2!$B:$B,Лист2!E:E)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 s="7" cm="1">
        <f t="array" ref="E368">_xlfn.XLOOKUP($A368&amp;$B368,Лист2!$A:$A &amp; Лист2!$B:$B,Лист2!C:C)</f>
        <v>15</v>
      </c>
      <c r="F368" s="7" cm="1">
        <f t="array" ref="F368">_xlfn.XLOOKUP($A368&amp;$B368,Лист2!$A:$A &amp; Лист2!$B:$B,Лист2!D:D)</f>
        <v>854</v>
      </c>
      <c r="G368" s="7" cm="1">
        <f t="array" ref="G368">_xlfn.XLOOKUP($A368&amp;$B368,Лист2!$A:$A &amp; Лист2!$B:$B,Лист2!E:E)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25">
      <c r="A369" s="8">
        <v>43954</v>
      </c>
      <c r="B369" s="9" t="s">
        <v>23</v>
      </c>
      <c r="C369" s="9">
        <v>10032</v>
      </c>
      <c r="D369" s="9">
        <v>816150</v>
      </c>
      <c r="E369" s="7" cm="1">
        <f t="array" ref="E369">_xlfn.XLOOKUP($A369&amp;$B369,Лист2!$A:$A &amp; Лист2!$B:$B,Лист2!C:C)</f>
        <v>15</v>
      </c>
      <c r="F369" s="7" cm="1">
        <f t="array" ref="F369">_xlfn.XLOOKUP($A369&amp;$B369,Лист2!$A:$A &amp; Лист2!$B:$B,Лист2!D:D)</f>
        <v>585</v>
      </c>
      <c r="G369" s="7" cm="1">
        <f t="array" ref="G369">_xlfn.XLOOKUP($A369&amp;$B369,Лист2!$A:$A &amp; Лист2!$B:$B,Лист2!E:E)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 s="7" cm="1">
        <f t="array" ref="E370">_xlfn.XLOOKUP($A370&amp;$B370,Лист2!$A:$A &amp; Лист2!$B:$B,Лист2!C:C)</f>
        <v>15</v>
      </c>
      <c r="F370" s="7" cm="1">
        <f t="array" ref="F370">_xlfn.XLOOKUP($A370&amp;$B370,Лист2!$A:$A &amp; Лист2!$B:$B,Лист2!D:D)</f>
        <v>701</v>
      </c>
      <c r="G370" s="7" cm="1">
        <f t="array" ref="G370">_xlfn.XLOOKUP($A370&amp;$B370,Лист2!$A:$A &amp; Лист2!$B:$B,Лист2!E:E)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25">
      <c r="A371" s="8">
        <v>43974</v>
      </c>
      <c r="B371" s="9" t="s">
        <v>23</v>
      </c>
      <c r="C371" s="9">
        <v>17943</v>
      </c>
      <c r="D371" s="9">
        <v>1457391</v>
      </c>
      <c r="E371" s="7" cm="1">
        <f t="array" ref="E371">_xlfn.XLOOKUP($A371&amp;$B371,Лист2!$A:$A &amp; Лист2!$B:$B,Лист2!C:C)</f>
        <v>18</v>
      </c>
      <c r="F371" s="7" cm="1">
        <f t="array" ref="F371">_xlfn.XLOOKUP($A371&amp;$B371,Лист2!$A:$A &amp; Лист2!$B:$B,Лист2!D:D)</f>
        <v>1031</v>
      </c>
      <c r="G371" s="7" cm="1">
        <f t="array" ref="G371">_xlfn.XLOOKUP($A371&amp;$B371,Лист2!$A:$A &amp; Лист2!$B:$B,Лист2!E:E)</f>
        <v>918</v>
      </c>
      <c r="H371">
        <f t="shared" si="10"/>
        <v>80966.17</v>
      </c>
      <c r="I371">
        <f t="shared" si="11"/>
        <v>21</v>
      </c>
    </row>
    <row r="372" spans="1:9" ht="14.25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 s="7" cm="1">
        <f t="array" ref="E372">_xlfn.XLOOKUP($A372&amp;$B372,Лист2!$A:$A &amp; Лист2!$B:$B,Лист2!C:C)</f>
        <v>18</v>
      </c>
      <c r="F372" s="7" cm="1">
        <f t="array" ref="F372">_xlfn.XLOOKUP($A372&amp;$B372,Лист2!$A:$A &amp; Лист2!$B:$B,Лист2!D:D)</f>
        <v>989</v>
      </c>
      <c r="G372" s="7" cm="1">
        <f t="array" ref="G372">_xlfn.XLOOKUP($A372&amp;$B372,Лист2!$A:$A &amp; Лист2!$B:$B,Лист2!E:E)</f>
        <v>887</v>
      </c>
      <c r="H372">
        <f t="shared" si="10"/>
        <v>73705.83</v>
      </c>
      <c r="I372">
        <f t="shared" si="11"/>
        <v>22</v>
      </c>
    </row>
    <row r="373" spans="1:9" ht="14.25" customHeight="1" x14ac:dyDescent="0.25">
      <c r="A373" s="8">
        <v>43951</v>
      </c>
      <c r="B373" s="9" t="s">
        <v>23</v>
      </c>
      <c r="C373" s="9">
        <v>11976</v>
      </c>
      <c r="D373" s="9">
        <v>1004511</v>
      </c>
      <c r="E373" s="7" cm="1">
        <f t="array" ref="E373">_xlfn.XLOOKUP($A373&amp;$B373,Лист2!$A:$A &amp; Лист2!$B:$B,Лист2!C:C)</f>
        <v>15</v>
      </c>
      <c r="F373" s="7" cm="1">
        <f t="array" ref="F373">_xlfn.XLOOKUP($A373&amp;$B373,Лист2!$A:$A &amp; Лист2!$B:$B,Лист2!D:D)</f>
        <v>644</v>
      </c>
      <c r="G373" s="7" cm="1">
        <f t="array" ref="G373">_xlfn.XLOOKUP($A373&amp;$B373,Лист2!$A:$A &amp; Лист2!$B:$B,Лист2!E:E)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 s="7" cm="1">
        <f t="array" ref="E374">_xlfn.XLOOKUP($A374&amp;$B374,Лист2!$A:$A &amp; Лист2!$B:$B,Лист2!C:C)</f>
        <v>15</v>
      </c>
      <c r="F374" s="7" cm="1">
        <f t="array" ref="F374">_xlfn.XLOOKUP($A374&amp;$B374,Лист2!$A:$A &amp; Лист2!$B:$B,Лист2!D:D)</f>
        <v>792</v>
      </c>
      <c r="G374" s="7" cm="1">
        <f t="array" ref="G374">_xlfn.XLOOKUP($A374&amp;$B374,Лист2!$A:$A &amp; Лист2!$B:$B,Лист2!E:E)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25">
      <c r="A375" s="8">
        <v>43959</v>
      </c>
      <c r="B375" s="9" t="s">
        <v>23</v>
      </c>
      <c r="C375" s="9">
        <v>12976.5</v>
      </c>
      <c r="D375" s="9">
        <v>1046848.5</v>
      </c>
      <c r="E375" s="7" cm="1">
        <f t="array" ref="E375">_xlfn.XLOOKUP($A375&amp;$B375,Лист2!$A:$A &amp; Лист2!$B:$B,Лист2!C:C)</f>
        <v>15</v>
      </c>
      <c r="F375" s="7" cm="1">
        <f t="array" ref="F375">_xlfn.XLOOKUP($A375&amp;$B375,Лист2!$A:$A &amp; Лист2!$B:$B,Лист2!D:D)</f>
        <v>703</v>
      </c>
      <c r="G375" s="7" cm="1">
        <f t="array" ref="G375">_xlfn.XLOOKUP($A375&amp;$B375,Лист2!$A:$A &amp; Лист2!$B:$B,Лист2!E:E)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 s="7" cm="1">
        <f t="array" ref="E376">_xlfn.XLOOKUP($A376&amp;$B376,Лист2!$A:$A &amp; Лист2!$B:$B,Лист2!C:C)</f>
        <v>15</v>
      </c>
      <c r="F376" s="7" cm="1">
        <f t="array" ref="F376">_xlfn.XLOOKUP($A376&amp;$B376,Лист2!$A:$A &amp; Лист2!$B:$B,Лист2!D:D)</f>
        <v>676</v>
      </c>
      <c r="G376" s="7" cm="1">
        <f t="array" ref="G376">_xlfn.XLOOKUP($A376&amp;$B376,Лист2!$A:$A &amp; Лист2!$B:$B,Лист2!E:E)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 s="7" cm="1">
        <f t="array" ref="E377">_xlfn.XLOOKUP($A377&amp;$B377,Лист2!$A:$A &amp; Лист2!$B:$B,Лист2!C:C)</f>
        <v>18</v>
      </c>
      <c r="F377" s="7" cm="1">
        <f t="array" ref="F377">_xlfn.XLOOKUP($A377&amp;$B377,Лист2!$A:$A &amp; Лист2!$B:$B,Лист2!D:D)</f>
        <v>1006</v>
      </c>
      <c r="G377" s="7" cm="1">
        <f t="array" ref="G377">_xlfn.XLOOKUP($A377&amp;$B377,Лист2!$A:$A &amp; Лист2!$B:$B,Лист2!E:E)</f>
        <v>904</v>
      </c>
      <c r="H377">
        <f t="shared" si="10"/>
        <v>77014.58</v>
      </c>
      <c r="I377">
        <f t="shared" si="11"/>
        <v>21</v>
      </c>
    </row>
    <row r="378" spans="1:9" ht="14.25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 s="7" cm="1">
        <f t="array" ref="E378">_xlfn.XLOOKUP($A378&amp;$B378,Лист2!$A:$A &amp; Лист2!$B:$B,Лист2!C:C)</f>
        <v>18</v>
      </c>
      <c r="F378" s="7" cm="1">
        <f t="array" ref="F378">_xlfn.XLOOKUP($A378&amp;$B378,Лист2!$A:$A &amp; Лист2!$B:$B,Лист2!D:D)</f>
        <v>914</v>
      </c>
      <c r="G378" s="7" cm="1">
        <f t="array" ref="G378">_xlfn.XLOOKUP($A378&amp;$B378,Лист2!$A:$A &amp; Лист2!$B:$B,Лист2!E:E)</f>
        <v>804</v>
      </c>
      <c r="H378">
        <f t="shared" si="10"/>
        <v>67247.58</v>
      </c>
      <c r="I378">
        <f t="shared" si="11"/>
        <v>22</v>
      </c>
    </row>
    <row r="379" spans="1:9" ht="14.25" customHeight="1" x14ac:dyDescent="0.25">
      <c r="A379" s="8">
        <v>43983</v>
      </c>
      <c r="B379" s="9" t="s">
        <v>9</v>
      </c>
      <c r="C379" s="9">
        <v>7816.5</v>
      </c>
      <c r="D379" s="9">
        <v>636345</v>
      </c>
      <c r="E379" s="7" cm="1">
        <f t="array" ref="E379">_xlfn.XLOOKUP($A379&amp;$B379,Лист2!$A:$A &amp; Лист2!$B:$B,Лист2!C:C)</f>
        <v>15</v>
      </c>
      <c r="F379" s="7" cm="1">
        <f t="array" ref="F379">_xlfn.XLOOKUP($A379&amp;$B379,Лист2!$A:$A &amp; Лист2!$B:$B,Лист2!D:D)</f>
        <v>453</v>
      </c>
      <c r="G379" s="7" cm="1">
        <f t="array" ref="G379">_xlfn.XLOOKUP($A379&amp;$B379,Лист2!$A:$A &amp; Лист2!$B:$B,Лист2!E:E)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 s="7" cm="1">
        <f t="array" ref="E380">_xlfn.XLOOKUP($A380&amp;$B380,Лист2!$A:$A &amp; Лист2!$B:$B,Лист2!C:C)</f>
        <v>9</v>
      </c>
      <c r="F380" s="7" cm="1">
        <f t="array" ref="F380">_xlfn.XLOOKUP($A380&amp;$B380,Лист2!$A:$A &amp; Лист2!$B:$B,Лист2!D:D)</f>
        <v>345</v>
      </c>
      <c r="G380" s="7" cm="1">
        <f t="array" ref="G380">_xlfn.XLOOKUP($A380&amp;$B380,Лист2!$A:$A &amp; Лист2!$B:$B,Лист2!E:E)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25">
      <c r="A381" s="8">
        <v>43981</v>
      </c>
      <c r="B381" s="9" t="s">
        <v>24</v>
      </c>
      <c r="C381" s="9">
        <v>11220</v>
      </c>
      <c r="D381" s="9">
        <v>928675.5</v>
      </c>
      <c r="E381" s="7" cm="1">
        <f t="array" ref="E381">_xlfn.XLOOKUP($A381&amp;$B381,Лист2!$A:$A &amp; Лист2!$B:$B,Лист2!C:C)</f>
        <v>7</v>
      </c>
      <c r="F381" s="7" cm="1">
        <f t="array" ref="F381">_xlfn.XLOOKUP($A381&amp;$B381,Лист2!$A:$A &amp; Лист2!$B:$B,Лист2!D:D)</f>
        <v>532</v>
      </c>
      <c r="G381" s="7" cm="1">
        <f t="array" ref="G381">_xlfn.XLOOKUP($A381&amp;$B381,Лист2!$A:$A &amp; Лист2!$B:$B,Лист2!E:E)</f>
        <v>449</v>
      </c>
      <c r="H381">
        <f t="shared" si="10"/>
        <v>132667.93</v>
      </c>
      <c r="I381">
        <f t="shared" si="11"/>
        <v>22</v>
      </c>
    </row>
    <row r="382" spans="1:9" ht="14.25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 s="7" cm="1">
        <f t="array" ref="E382">_xlfn.XLOOKUP($A382&amp;$B382,Лист2!$A:$A &amp; Лист2!$B:$B,Лист2!C:C)</f>
        <v>15</v>
      </c>
      <c r="F382" s="7" cm="1">
        <f t="array" ref="F382">_xlfn.XLOOKUP($A382&amp;$B382,Лист2!$A:$A &amp; Лист2!$B:$B,Лист2!D:D)</f>
        <v>400</v>
      </c>
      <c r="G382" s="7" cm="1">
        <f t="array" ref="G382">_xlfn.XLOOKUP($A382&amp;$B382,Лист2!$A:$A &amp; Лист2!$B:$B,Лист2!E:E)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25">
      <c r="A383" s="8">
        <v>43979</v>
      </c>
      <c r="B383" s="9" t="s">
        <v>24</v>
      </c>
      <c r="C383" s="9">
        <v>8428.5</v>
      </c>
      <c r="D383" s="9">
        <v>694669.5</v>
      </c>
      <c r="E383" s="7" cm="1">
        <f t="array" ref="E383">_xlfn.XLOOKUP($A383&amp;$B383,Лист2!$A:$A &amp; Лист2!$B:$B,Лист2!C:C)</f>
        <v>7</v>
      </c>
      <c r="F383" s="7" cm="1">
        <f t="array" ref="F383">_xlfn.XLOOKUP($A383&amp;$B383,Лист2!$A:$A &amp; Лист2!$B:$B,Лист2!D:D)</f>
        <v>420</v>
      </c>
      <c r="G383" s="7" cm="1">
        <f t="array" ref="G383">_xlfn.XLOOKUP($A383&amp;$B383,Лист2!$A:$A &amp; Лист2!$B:$B,Лист2!E:E)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 s="7" cm="1">
        <f t="array" ref="E384">_xlfn.XLOOKUP($A384&amp;$B384,Лист2!$A:$A &amp; Лист2!$B:$B,Лист2!C:C)</f>
        <v>20</v>
      </c>
      <c r="F384" s="7" cm="1">
        <f t="array" ref="F384">_xlfn.XLOOKUP($A384&amp;$B384,Лист2!$A:$A &amp; Лист2!$B:$B,Лист2!D:D)</f>
        <v>2079</v>
      </c>
      <c r="G384" s="7" cm="1">
        <f t="array" ref="G384">_xlfn.XLOOKUP($A384&amp;$B384,Лист2!$A:$A &amp; Лист2!$B:$B,Лист2!E:E)</f>
        <v>1893</v>
      </c>
      <c r="H384">
        <f t="shared" si="10"/>
        <v>150787.57999999999</v>
      </c>
      <c r="I384">
        <f t="shared" si="11"/>
        <v>22</v>
      </c>
    </row>
    <row r="385" spans="1:9" ht="14.25" customHeight="1" x14ac:dyDescent="0.25">
      <c r="A385" s="8">
        <v>43973</v>
      </c>
      <c r="B385" s="9" t="s">
        <v>10</v>
      </c>
      <c r="C385" s="9">
        <v>36031.5</v>
      </c>
      <c r="D385" s="9">
        <v>3091069.5</v>
      </c>
      <c r="E385" s="7" cm="1">
        <f t="array" ref="E385">_xlfn.XLOOKUP($A385&amp;$B385,Лист2!$A:$A &amp; Лист2!$B:$B,Лист2!C:C)</f>
        <v>21</v>
      </c>
      <c r="F385" s="7" cm="1">
        <f t="array" ref="F385">_xlfn.XLOOKUP($A385&amp;$B385,Лист2!$A:$A &amp; Лист2!$B:$B,Лист2!D:D)</f>
        <v>2046</v>
      </c>
      <c r="G385" s="7" cm="1">
        <f t="array" ref="G385">_xlfn.XLOOKUP($A385&amp;$B385,Лист2!$A:$A &amp; Лист2!$B:$B,Лист2!E:E)</f>
        <v>1853</v>
      </c>
      <c r="H385">
        <f t="shared" si="10"/>
        <v>147193.79</v>
      </c>
      <c r="I385">
        <f t="shared" si="11"/>
        <v>21</v>
      </c>
    </row>
    <row r="386" spans="1:9" ht="14.25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 s="7" cm="1">
        <f t="array" ref="E386">_xlfn.XLOOKUP($A386&amp;$B386,Лист2!$A:$A &amp; Лист2!$B:$B,Лист2!C:C)</f>
        <v>6</v>
      </c>
      <c r="F386" s="7" cm="1">
        <f t="array" ref="F386">_xlfn.XLOOKUP($A386&amp;$B386,Лист2!$A:$A &amp; Лист2!$B:$B,Лист2!D:D)</f>
        <v>261</v>
      </c>
      <c r="G386" s="7" cm="1">
        <f t="array" ref="G386">_xlfn.XLOOKUP($A386&amp;$B386,Лист2!$A:$A &amp; Лист2!$B:$B,Лист2!E:E)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25">
      <c r="A387" s="8">
        <v>43962</v>
      </c>
      <c r="B387" s="9" t="s">
        <v>10</v>
      </c>
      <c r="C387" s="9">
        <v>27187.5</v>
      </c>
      <c r="D387" s="9">
        <v>2479396.5</v>
      </c>
      <c r="E387" s="7" cm="1">
        <f t="array" ref="E387">_xlfn.XLOOKUP($A387&amp;$B387,Лист2!$A:$A &amp; Лист2!$B:$B,Лист2!C:C)</f>
        <v>21</v>
      </c>
      <c r="F387" s="7" cm="1">
        <f t="array" ref="F387">_xlfn.XLOOKUP($A387&amp;$B387,Лист2!$A:$A &amp; Лист2!$B:$B,Лист2!D:D)</f>
        <v>1597</v>
      </c>
      <c r="G387" s="7" cm="1">
        <f t="array" ref="G387">_xlfn.XLOOKUP($A387&amp;$B387,Лист2!$A:$A &amp; Лист2!$B:$B,Лист2!E:E)</f>
        <v>1457</v>
      </c>
      <c r="H387">
        <f t="shared" ref="H387:H450" si="12">ROUND(D387/E387,2)</f>
        <v>118066.5</v>
      </c>
      <c r="I387">
        <f t="shared" ref="I387:I450" si="13">WEEKNUM(A387,2)</f>
        <v>20</v>
      </c>
    </row>
    <row r="388" spans="1:9" ht="14.25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 s="7" cm="1">
        <f t="array" ref="E388">_xlfn.XLOOKUP($A388&amp;$B388,Лист2!$A:$A &amp; Лист2!$B:$B,Лист2!C:C)</f>
        <v>18</v>
      </c>
      <c r="F388" s="7" cm="1">
        <f t="array" ref="F388">_xlfn.XLOOKUP($A388&amp;$B388,Лист2!$A:$A &amp; Лист2!$B:$B,Лист2!D:D)</f>
        <v>1216</v>
      </c>
      <c r="G388" s="7" cm="1">
        <f t="array" ref="G388">_xlfn.XLOOKUP($A388&amp;$B388,Лист2!$A:$A &amp; Лист2!$B:$B,Лист2!E:E)</f>
        <v>1101</v>
      </c>
      <c r="H388">
        <f t="shared" si="12"/>
        <v>98508.58</v>
      </c>
      <c r="I388">
        <f t="shared" si="13"/>
        <v>22</v>
      </c>
    </row>
    <row r="389" spans="1:9" ht="14.25" customHeight="1" x14ac:dyDescent="0.25">
      <c r="A389" s="8">
        <v>43979</v>
      </c>
      <c r="B389" s="9" t="s">
        <v>23</v>
      </c>
      <c r="C389" s="9">
        <v>15678</v>
      </c>
      <c r="D389" s="9">
        <v>1387443</v>
      </c>
      <c r="E389" s="7" cm="1">
        <f t="array" ref="E389">_xlfn.XLOOKUP($A389&amp;$B389,Лист2!$A:$A &amp; Лист2!$B:$B,Лист2!C:C)</f>
        <v>18</v>
      </c>
      <c r="F389" s="7" cm="1">
        <f t="array" ref="F389">_xlfn.XLOOKUP($A389&amp;$B389,Лист2!$A:$A &amp; Лист2!$B:$B,Лист2!D:D)</f>
        <v>1020</v>
      </c>
      <c r="G389" s="7" cm="1">
        <f t="array" ref="G389">_xlfn.XLOOKUP($A389&amp;$B389,Лист2!$A:$A &amp; Лист2!$B:$B,Лист2!E:E)</f>
        <v>911</v>
      </c>
      <c r="H389">
        <f t="shared" si="12"/>
        <v>77080.17</v>
      </c>
      <c r="I389">
        <f t="shared" si="13"/>
        <v>22</v>
      </c>
    </row>
    <row r="390" spans="1:9" ht="14.25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 s="7" cm="1">
        <f t="array" ref="E390">_xlfn.XLOOKUP($A390&amp;$B390,Лист2!$A:$A &amp; Лист2!$B:$B,Лист2!C:C)</f>
        <v>21</v>
      </c>
      <c r="F390" s="7" cm="1">
        <f t="array" ref="F390">_xlfn.XLOOKUP($A390&amp;$B390,Лист2!$A:$A &amp; Лист2!$B:$B,Лист2!D:D)</f>
        <v>1834</v>
      </c>
      <c r="G390" s="7" cm="1">
        <f t="array" ref="G390">_xlfn.XLOOKUP($A390&amp;$B390,Лист2!$A:$A &amp; Лист2!$B:$B,Лист2!E:E)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25">
      <c r="A391" s="8">
        <v>43965</v>
      </c>
      <c r="B391" s="9" t="s">
        <v>10</v>
      </c>
      <c r="C391" s="9">
        <v>29658</v>
      </c>
      <c r="D391" s="9">
        <v>2703132</v>
      </c>
      <c r="E391" s="7" cm="1">
        <f t="array" ref="E391">_xlfn.XLOOKUP($A391&amp;$B391,Лист2!$A:$A &amp; Лист2!$B:$B,Лист2!C:C)</f>
        <v>21</v>
      </c>
      <c r="F391" s="7" cm="1">
        <f t="array" ref="F391">_xlfn.XLOOKUP($A391&amp;$B391,Лист2!$A:$A &amp; Лист2!$B:$B,Лист2!D:D)</f>
        <v>1706</v>
      </c>
      <c r="G391" s="7" cm="1">
        <f t="array" ref="G391">_xlfn.XLOOKUP($A391&amp;$B391,Лист2!$A:$A &amp; Лист2!$B:$B,Лист2!E:E)</f>
        <v>1548</v>
      </c>
      <c r="H391">
        <f t="shared" si="12"/>
        <v>128720.57</v>
      </c>
      <c r="I391">
        <f t="shared" si="13"/>
        <v>20</v>
      </c>
    </row>
    <row r="392" spans="1:9" ht="14.25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 s="7" cm="1">
        <f t="array" ref="E392">_xlfn.XLOOKUP($A392&amp;$B392,Лист2!$A:$A &amp; Лист2!$B:$B,Лист2!C:C)</f>
        <v>21</v>
      </c>
      <c r="F392" s="7" cm="1">
        <f t="array" ref="F392">_xlfn.XLOOKUP($A392&amp;$B392,Лист2!$A:$A &amp; Лист2!$B:$B,Лист2!D:D)</f>
        <v>1926</v>
      </c>
      <c r="G392" s="7" cm="1">
        <f t="array" ref="G392">_xlfn.XLOOKUP($A392&amp;$B392,Лист2!$A:$A &amp; Лист2!$B:$B,Лист2!E:E)</f>
        <v>1742</v>
      </c>
      <c r="H392">
        <f t="shared" si="12"/>
        <v>144680.64000000001</v>
      </c>
      <c r="I392">
        <f t="shared" si="13"/>
        <v>20</v>
      </c>
    </row>
    <row r="393" spans="1:9" ht="14.25" customHeight="1" x14ac:dyDescent="0.25">
      <c r="A393" s="8">
        <v>43983</v>
      </c>
      <c r="B393" s="9" t="s">
        <v>10</v>
      </c>
      <c r="C393" s="9">
        <v>31947</v>
      </c>
      <c r="D393" s="9">
        <v>2945035.5</v>
      </c>
      <c r="E393" s="7" cm="1">
        <f t="array" ref="E393">_xlfn.XLOOKUP($A393&amp;$B393,Лист2!$A:$A &amp; Лист2!$B:$B,Лист2!C:C)</f>
        <v>21</v>
      </c>
      <c r="F393" s="7" cm="1">
        <f t="array" ref="F393">_xlfn.XLOOKUP($A393&amp;$B393,Лист2!$A:$A &amp; Лист2!$B:$B,Лист2!D:D)</f>
        <v>2025</v>
      </c>
      <c r="G393" s="7" cm="1">
        <f t="array" ref="G393">_xlfn.XLOOKUP($A393&amp;$B393,Лист2!$A:$A &amp; Лист2!$B:$B,Лист2!E:E)</f>
        <v>1849</v>
      </c>
      <c r="H393">
        <f t="shared" si="12"/>
        <v>140239.79</v>
      </c>
      <c r="I393">
        <f t="shared" si="13"/>
        <v>23</v>
      </c>
    </row>
    <row r="394" spans="1:9" ht="14.25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 s="7" cm="1">
        <f t="array" ref="E394">_xlfn.XLOOKUP($A394&amp;$B394,Лист2!$A:$A &amp; Лист2!$B:$B,Лист2!C:C)</f>
        <v>7</v>
      </c>
      <c r="F394" s="7" cm="1">
        <f t="array" ref="F394">_xlfn.XLOOKUP($A394&amp;$B394,Лист2!$A:$A &amp; Лист2!$B:$B,Лист2!D:D)</f>
        <v>530</v>
      </c>
      <c r="G394" s="7" cm="1">
        <f t="array" ref="G394">_xlfn.XLOOKUP($A394&amp;$B394,Лист2!$A:$A &amp; Лист2!$B:$B,Лист2!E:E)</f>
        <v>447</v>
      </c>
      <c r="H394">
        <f t="shared" si="12"/>
        <v>123717.64</v>
      </c>
      <c r="I394">
        <f t="shared" si="13"/>
        <v>22</v>
      </c>
    </row>
    <row r="395" spans="1:9" ht="14.25" customHeight="1" x14ac:dyDescent="0.25">
      <c r="A395" s="8">
        <v>43980</v>
      </c>
      <c r="B395" s="9" t="s">
        <v>10</v>
      </c>
      <c r="C395" s="9">
        <v>35431.5</v>
      </c>
      <c r="D395" s="9">
        <v>3193167</v>
      </c>
      <c r="E395" s="7" cm="1">
        <f t="array" ref="E395">_xlfn.XLOOKUP($A395&amp;$B395,Лист2!$A:$A &amp; Лист2!$B:$B,Лист2!C:C)</f>
        <v>20</v>
      </c>
      <c r="F395" s="7" cm="1">
        <f t="array" ref="F395">_xlfn.XLOOKUP($A395&amp;$B395,Лист2!$A:$A &amp; Лист2!$B:$B,Лист2!D:D)</f>
        <v>2111</v>
      </c>
      <c r="G395" s="7" cm="1">
        <f t="array" ref="G395">_xlfn.XLOOKUP($A395&amp;$B395,Лист2!$A:$A &amp; Лист2!$B:$B,Лист2!E:E)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 s="7" cm="1">
        <f t="array" ref="E396">_xlfn.XLOOKUP($A396&amp;$B396,Лист2!$A:$A &amp; Лист2!$B:$B,Лист2!C:C)</f>
        <v>31</v>
      </c>
      <c r="F396" s="7" cm="1">
        <f t="array" ref="F396">_xlfn.XLOOKUP($A396&amp;$B396,Лист2!$A:$A &amp; Лист2!$B:$B,Лист2!D:D)</f>
        <v>5330</v>
      </c>
      <c r="G396" s="7" cm="1">
        <f t="array" ref="G396">_xlfn.XLOOKUP($A396&amp;$B396,Лист2!$A:$A &amp; Лист2!$B:$B,Лист2!E:E)</f>
        <v>4977</v>
      </c>
      <c r="H396">
        <f t="shared" si="12"/>
        <v>216163.98</v>
      </c>
      <c r="I396">
        <f t="shared" si="13"/>
        <v>22</v>
      </c>
    </row>
    <row r="397" spans="1:9" ht="14.25" customHeight="1" x14ac:dyDescent="0.25">
      <c r="A397" s="8">
        <v>43973</v>
      </c>
      <c r="B397" s="9" t="s">
        <v>11</v>
      </c>
      <c r="C397" s="9">
        <v>97963.5</v>
      </c>
      <c r="D397" s="9">
        <v>7728465</v>
      </c>
      <c r="E397" s="7" cm="1">
        <f t="array" ref="E397">_xlfn.XLOOKUP($A397&amp;$B397,Лист2!$A:$A &amp; Лист2!$B:$B,Лист2!C:C)</f>
        <v>31</v>
      </c>
      <c r="F397" s="7" cm="1">
        <f t="array" ref="F397">_xlfn.XLOOKUP($A397&amp;$B397,Лист2!$A:$A &amp; Лист2!$B:$B,Лист2!D:D)</f>
        <v>5965</v>
      </c>
      <c r="G397" s="7" cm="1">
        <f t="array" ref="G397">_xlfn.XLOOKUP($A397&amp;$B397,Лист2!$A:$A &amp; Лист2!$B:$B,Лист2!E:E)</f>
        <v>5533</v>
      </c>
      <c r="H397">
        <f t="shared" si="12"/>
        <v>249305.32</v>
      </c>
      <c r="I397">
        <f t="shared" si="13"/>
        <v>21</v>
      </c>
    </row>
    <row r="398" spans="1:9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 s="7" cm="1">
        <f t="array" ref="E398">_xlfn.XLOOKUP($A398&amp;$B398,Лист2!$A:$A &amp; Лист2!$B:$B,Лист2!C:C)</f>
        <v>31</v>
      </c>
      <c r="F398" s="7" cm="1">
        <f t="array" ref="F398">_xlfn.XLOOKUP($A398&amp;$B398,Лист2!$A:$A &amp; Лист2!$B:$B,Лист2!D:D)</f>
        <v>5468</v>
      </c>
      <c r="G398" s="7" cm="1">
        <f t="array" ref="G398">_xlfn.XLOOKUP($A398&amp;$B398,Лист2!$A:$A &amp; Лист2!$B:$B,Лист2!E:E)</f>
        <v>5081</v>
      </c>
      <c r="H398">
        <f t="shared" si="12"/>
        <v>220320.05</v>
      </c>
      <c r="I398">
        <f t="shared" si="13"/>
        <v>23</v>
      </c>
    </row>
    <row r="399" spans="1:9" ht="14.25" customHeight="1" x14ac:dyDescent="0.25">
      <c r="A399" s="8">
        <v>43982</v>
      </c>
      <c r="B399" s="9" t="s">
        <v>23</v>
      </c>
      <c r="C399" s="9">
        <v>16143</v>
      </c>
      <c r="D399" s="9">
        <v>1423410</v>
      </c>
      <c r="E399" s="7" cm="1">
        <f t="array" ref="E399">_xlfn.XLOOKUP($A399&amp;$B399,Лист2!$A:$A &amp; Лист2!$B:$B,Лист2!C:C)</f>
        <v>18</v>
      </c>
      <c r="F399" s="7" cm="1">
        <f t="array" ref="F399">_xlfn.XLOOKUP($A399&amp;$B399,Лист2!$A:$A &amp; Лист2!$B:$B,Лист2!D:D)</f>
        <v>1029</v>
      </c>
      <c r="G399" s="7" cm="1">
        <f t="array" ref="G399">_xlfn.XLOOKUP($A399&amp;$B399,Лист2!$A:$A &amp; Лист2!$B:$B,Лист2!E:E)</f>
        <v>925</v>
      </c>
      <c r="H399">
        <f t="shared" si="12"/>
        <v>79078.33</v>
      </c>
      <c r="I399">
        <f t="shared" si="13"/>
        <v>22</v>
      </c>
    </row>
    <row r="400" spans="1:9" ht="14.25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 s="7" cm="1">
        <f t="array" ref="E400">_xlfn.XLOOKUP($A400&amp;$B400,Лист2!$A:$A &amp; Лист2!$B:$B,Лист2!C:C)</f>
        <v>31</v>
      </c>
      <c r="F400" s="7" cm="1">
        <f t="array" ref="F400">_xlfn.XLOOKUP($A400&amp;$B400,Лист2!$A:$A &amp; Лист2!$B:$B,Лист2!D:D)</f>
        <v>4826</v>
      </c>
      <c r="G400" s="7" cm="1">
        <f t="array" ref="G400">_xlfn.XLOOKUP($A400&amp;$B400,Лист2!$A:$A &amp; Лист2!$B:$B,Лист2!E:E)</f>
        <v>4483</v>
      </c>
      <c r="H400">
        <f t="shared" si="12"/>
        <v>206410.31</v>
      </c>
      <c r="I400">
        <f t="shared" si="13"/>
        <v>20</v>
      </c>
    </row>
    <row r="401" spans="1:9" ht="14.25" customHeight="1" x14ac:dyDescent="0.25">
      <c r="A401" s="8">
        <v>43969</v>
      </c>
      <c r="B401" s="9" t="s">
        <v>11</v>
      </c>
      <c r="C401" s="9">
        <v>78058.5</v>
      </c>
      <c r="D401" s="9">
        <v>6609714</v>
      </c>
      <c r="E401" s="7" cm="1">
        <f t="array" ref="E401">_xlfn.XLOOKUP($A401&amp;$B401,Лист2!$A:$A &amp; Лист2!$B:$B,Лист2!C:C)</f>
        <v>31</v>
      </c>
      <c r="F401" s="7" cm="1">
        <f t="array" ref="F401">_xlfn.XLOOKUP($A401&amp;$B401,Лист2!$A:$A &amp; Лист2!$B:$B,Лист2!D:D)</f>
        <v>5165</v>
      </c>
      <c r="G401" s="7" cm="1">
        <f t="array" ref="G401">_xlfn.XLOOKUP($A401&amp;$B401,Лист2!$A:$A &amp; Лист2!$B:$B,Лист2!E:E)</f>
        <v>4813</v>
      </c>
      <c r="H401">
        <f t="shared" si="12"/>
        <v>213216.58</v>
      </c>
      <c r="I401">
        <f t="shared" si="13"/>
        <v>21</v>
      </c>
    </row>
    <row r="402" spans="1:9" ht="14.25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 s="7" cm="1">
        <f t="array" ref="E402">_xlfn.XLOOKUP($A402&amp;$B402,Лист2!$A:$A &amp; Лист2!$B:$B,Лист2!C:C)</f>
        <v>31</v>
      </c>
      <c r="F402" s="7" cm="1">
        <f t="array" ref="F402">_xlfn.XLOOKUP($A402&amp;$B402,Лист2!$A:$A &amp; Лист2!$B:$B,Лист2!D:D)</f>
        <v>4695</v>
      </c>
      <c r="G402" s="7" cm="1">
        <f t="array" ref="G402">_xlfn.XLOOKUP($A402&amp;$B402,Лист2!$A:$A &amp; Лист2!$B:$B,Лист2!E:E)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25">
      <c r="A403" s="8">
        <v>43966</v>
      </c>
      <c r="B403" s="9" t="s">
        <v>11</v>
      </c>
      <c r="C403" s="9">
        <v>78961.5</v>
      </c>
      <c r="D403" s="9">
        <v>6876454.5</v>
      </c>
      <c r="E403" s="7" cm="1">
        <f t="array" ref="E403">_xlfn.XLOOKUP($A403&amp;$B403,Лист2!$A:$A &amp; Лист2!$B:$B,Лист2!C:C)</f>
        <v>31</v>
      </c>
      <c r="F403" s="7" cm="1">
        <f t="array" ref="F403">_xlfn.XLOOKUP($A403&amp;$B403,Лист2!$A:$A &amp; Лист2!$B:$B,Лист2!D:D)</f>
        <v>5184</v>
      </c>
      <c r="G403" s="7" cm="1">
        <f t="array" ref="G403">_xlfn.XLOOKUP($A403&amp;$B403,Лист2!$A:$A &amp; Лист2!$B:$B,Лист2!E:E)</f>
        <v>4778</v>
      </c>
      <c r="H403">
        <f t="shared" si="12"/>
        <v>221821.11</v>
      </c>
      <c r="I403">
        <f t="shared" si="13"/>
        <v>20</v>
      </c>
    </row>
    <row r="404" spans="1:9" ht="14.25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 s="7" cm="1">
        <f t="array" ref="E404">_xlfn.XLOOKUP($A404&amp;$B404,Лист2!$A:$A &amp; Лист2!$B:$B,Лист2!C:C)</f>
        <v>10</v>
      </c>
      <c r="F404" s="7" cm="1">
        <f t="array" ref="F404">_xlfn.XLOOKUP($A404&amp;$B404,Лист2!$A:$A &amp; Лист2!$B:$B,Лист2!D:D)</f>
        <v>757</v>
      </c>
      <c r="G404" s="7" cm="1">
        <f t="array" ref="G404">_xlfn.XLOOKUP($A404&amp;$B404,Лист2!$A:$A &amp; Лист2!$B:$B,Лист2!E:E)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25">
      <c r="A405" s="8">
        <v>43973</v>
      </c>
      <c r="B405" s="9" t="s">
        <v>12</v>
      </c>
      <c r="C405" s="9">
        <v>18036</v>
      </c>
      <c r="D405" s="9">
        <v>1455049.5</v>
      </c>
      <c r="E405" s="7" cm="1">
        <f t="array" ref="E405">_xlfn.XLOOKUP($A405&amp;$B405,Лист2!$A:$A &amp; Лист2!$B:$B,Лист2!C:C)</f>
        <v>10</v>
      </c>
      <c r="F405" s="7" cm="1">
        <f t="array" ref="F405">_xlfn.XLOOKUP($A405&amp;$B405,Лист2!$A:$A &amp; Лист2!$B:$B,Лист2!D:D)</f>
        <v>965</v>
      </c>
      <c r="G405" s="7" cm="1">
        <f t="array" ref="G405">_xlfn.XLOOKUP($A405&amp;$B405,Лист2!$A:$A &amp; Лист2!$B:$B,Лист2!E:E)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 s="7" cm="1">
        <f t="array" ref="E406">_xlfn.XLOOKUP($A406&amp;$B406,Лист2!$A:$A &amp; Лист2!$B:$B,Лист2!C:C)</f>
        <v>10</v>
      </c>
      <c r="F406" s="7" cm="1">
        <f t="array" ref="F406">_xlfn.XLOOKUP($A406&amp;$B406,Лист2!$A:$A &amp; Лист2!$B:$B,Лист2!D:D)</f>
        <v>719</v>
      </c>
      <c r="G406" s="7" cm="1">
        <f t="array" ref="G406">_xlfn.XLOOKUP($A406&amp;$B406,Лист2!$A:$A &amp; Лист2!$B:$B,Лист2!E:E)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25">
      <c r="A407" s="8">
        <v>43962</v>
      </c>
      <c r="B407" s="9" t="s">
        <v>12</v>
      </c>
      <c r="C407" s="9">
        <v>9007.5</v>
      </c>
      <c r="D407" s="9">
        <v>734335.5</v>
      </c>
      <c r="E407" s="7" cm="1">
        <f t="array" ref="E407">_xlfn.XLOOKUP($A407&amp;$B407,Лист2!$A:$A &amp; Лист2!$B:$B,Лист2!C:C)</f>
        <v>10</v>
      </c>
      <c r="F407" s="7" cm="1">
        <f t="array" ref="F407">_xlfn.XLOOKUP($A407&amp;$B407,Лист2!$A:$A &amp; Лист2!$B:$B,Лист2!D:D)</f>
        <v>494</v>
      </c>
      <c r="G407" s="7" cm="1">
        <f t="array" ref="G407">_xlfn.XLOOKUP($A407&amp;$B407,Лист2!$A:$A &amp; Лист2!$B:$B,Лист2!E:E)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 s="7" cm="1">
        <f t="array" ref="E408">_xlfn.XLOOKUP($A408&amp;$B408,Лист2!$A:$A &amp; Лист2!$B:$B,Лист2!C:C)</f>
        <v>31</v>
      </c>
      <c r="F408" s="7" cm="1">
        <f t="array" ref="F408">_xlfn.XLOOKUP($A408&amp;$B408,Лист2!$A:$A &amp; Лист2!$B:$B,Лист2!D:D)</f>
        <v>5751</v>
      </c>
      <c r="G408" s="7" cm="1">
        <f t="array" ref="G408">_xlfn.XLOOKUP($A408&amp;$B408,Лист2!$A:$A &amp; Лист2!$B:$B,Лист2!E:E)</f>
        <v>5319</v>
      </c>
      <c r="H408">
        <f t="shared" si="12"/>
        <v>238294.06</v>
      </c>
      <c r="I408">
        <f t="shared" si="13"/>
        <v>22</v>
      </c>
    </row>
    <row r="409" spans="1:9" ht="14.25" customHeight="1" x14ac:dyDescent="0.25">
      <c r="A409" s="8">
        <v>43969</v>
      </c>
      <c r="B409" s="9" t="s">
        <v>12</v>
      </c>
      <c r="C409" s="9">
        <v>11680.5</v>
      </c>
      <c r="D409" s="9">
        <v>936427.5</v>
      </c>
      <c r="E409" s="7" cm="1">
        <f t="array" ref="E409">_xlfn.XLOOKUP($A409&amp;$B409,Лист2!$A:$A &amp; Лист2!$B:$B,Лист2!C:C)</f>
        <v>10</v>
      </c>
      <c r="F409" s="7" cm="1">
        <f t="array" ref="F409">_xlfn.XLOOKUP($A409&amp;$B409,Лист2!$A:$A &amp; Лист2!$B:$B,Лист2!D:D)</f>
        <v>645</v>
      </c>
      <c r="G409" s="7" cm="1">
        <f t="array" ref="G409">_xlfn.XLOOKUP($A409&amp;$B409,Лист2!$A:$A &amp; Лист2!$B:$B,Лист2!E:E)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 s="7" cm="1">
        <f t="array" ref="E410">_xlfn.XLOOKUP($A410&amp;$B410,Лист2!$A:$A &amp; Лист2!$B:$B,Лист2!C:C)</f>
        <v>10</v>
      </c>
      <c r="F410" s="7" cm="1">
        <f t="array" ref="F410">_xlfn.XLOOKUP($A410&amp;$B410,Лист2!$A:$A &amp; Лист2!$B:$B,Лист2!D:D)</f>
        <v>627</v>
      </c>
      <c r="G410" s="7" cm="1">
        <f t="array" ref="G410">_xlfn.XLOOKUP($A410&amp;$B410,Лист2!$A:$A &amp; Лист2!$B:$B,Лист2!E:E)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25">
      <c r="A411" s="8">
        <v>43966</v>
      </c>
      <c r="B411" s="9" t="s">
        <v>12</v>
      </c>
      <c r="C411" s="9">
        <v>14421</v>
      </c>
      <c r="D411" s="9">
        <v>1150579.5</v>
      </c>
      <c r="E411" s="7" cm="1">
        <f t="array" ref="E411">_xlfn.XLOOKUP($A411&amp;$B411,Лист2!$A:$A &amp; Лист2!$B:$B,Лист2!C:C)</f>
        <v>10</v>
      </c>
      <c r="F411" s="7" cm="1">
        <f t="array" ref="F411">_xlfn.XLOOKUP($A411&amp;$B411,Лист2!$A:$A &amp; Лист2!$B:$B,Лист2!D:D)</f>
        <v>743</v>
      </c>
      <c r="G411" s="7" cm="1">
        <f t="array" ref="G411">_xlfn.XLOOKUP($A411&amp;$B411,Лист2!$A:$A &amp; Лист2!$B:$B,Лист2!E:E)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 s="7" cm="1">
        <f t="array" ref="E412">_xlfn.XLOOKUP($A412&amp;$B412,Лист2!$A:$A &amp; Лист2!$B:$B,Лист2!C:C)</f>
        <v>10</v>
      </c>
      <c r="F412" s="7" cm="1">
        <f t="array" ref="F412">_xlfn.XLOOKUP($A412&amp;$B412,Лист2!$A:$A &amp; Лист2!$B:$B,Лист2!D:D)</f>
        <v>873</v>
      </c>
      <c r="G412" s="7" cm="1">
        <f t="array" ref="G412">_xlfn.XLOOKUP($A412&amp;$B412,Лист2!$A:$A &amp; Лист2!$B:$B,Лист2!E:E)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25">
      <c r="A413" s="8">
        <v>43978</v>
      </c>
      <c r="B413" s="9" t="s">
        <v>13</v>
      </c>
      <c r="C413" s="9">
        <v>31257</v>
      </c>
      <c r="D413" s="9">
        <v>2924133</v>
      </c>
      <c r="E413" s="7" cm="1">
        <f t="array" ref="E413">_xlfn.XLOOKUP($A413&amp;$B413,Лист2!$A:$A &amp; Лист2!$B:$B,Лист2!C:C)</f>
        <v>20</v>
      </c>
      <c r="F413" s="7" cm="1">
        <f t="array" ref="F413">_xlfn.XLOOKUP($A413&amp;$B413,Лист2!$A:$A &amp; Лист2!$B:$B,Лист2!D:D)</f>
        <v>2079</v>
      </c>
      <c r="G413" s="7" cm="1">
        <f t="array" ref="G413">_xlfn.XLOOKUP($A413&amp;$B413,Лист2!$A:$A &amp; Лист2!$B:$B,Лист2!E:E)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 s="7" cm="1">
        <f t="array" ref="E414">_xlfn.XLOOKUP($A414&amp;$B414,Лист2!$A:$A &amp; Лист2!$B:$B,Лист2!C:C)</f>
        <v>20</v>
      </c>
      <c r="F414" s="7" cm="1">
        <f t="array" ref="F414">_xlfn.XLOOKUP($A414&amp;$B414,Лист2!$A:$A &amp; Лист2!$B:$B,Лист2!D:D)</f>
        <v>2306</v>
      </c>
      <c r="G414" s="7" cm="1">
        <f t="array" ref="G414">_xlfn.XLOOKUP($A414&amp;$B414,Лист2!$A:$A &amp; Лист2!$B:$B,Лист2!E:E)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25">
      <c r="A415" s="8">
        <v>43983</v>
      </c>
      <c r="B415" s="9" t="s">
        <v>13</v>
      </c>
      <c r="C415" s="9">
        <v>32170.5</v>
      </c>
      <c r="D415" s="9">
        <v>3013512</v>
      </c>
      <c r="E415" s="7" cm="1">
        <f t="array" ref="E415">_xlfn.XLOOKUP($A415&amp;$B415,Лист2!$A:$A &amp; Лист2!$B:$B,Лист2!C:C)</f>
        <v>20</v>
      </c>
      <c r="F415" s="7" cm="1">
        <f t="array" ref="F415">_xlfn.XLOOKUP($A415&amp;$B415,Лист2!$A:$A &amp; Лист2!$B:$B,Лист2!D:D)</f>
        <v>2136</v>
      </c>
      <c r="G415" s="7" cm="1">
        <f t="array" ref="G415">_xlfn.XLOOKUP($A415&amp;$B415,Лист2!$A:$A &amp; Лист2!$B:$B,Лист2!E:E)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 s="7" cm="1">
        <f t="array" ref="E416">_xlfn.XLOOKUP($A416&amp;$B416,Лист2!$A:$A &amp; Лист2!$B:$B,Лист2!C:C)</f>
        <v>19</v>
      </c>
      <c r="F416" s="7" cm="1">
        <f t="array" ref="F416">_xlfn.XLOOKUP($A416&amp;$B416,Лист2!$A:$A &amp; Лист2!$B:$B,Лист2!D:D)</f>
        <v>2530</v>
      </c>
      <c r="G416" s="7" cm="1">
        <f t="array" ref="G416">_xlfn.XLOOKUP($A416&amp;$B416,Лист2!$A:$A &amp; Лист2!$B:$B,Лист2!E:E)</f>
        <v>2270</v>
      </c>
      <c r="H416">
        <f t="shared" si="12"/>
        <v>205893.63</v>
      </c>
      <c r="I416">
        <f t="shared" si="13"/>
        <v>20</v>
      </c>
    </row>
    <row r="417" spans="1:9" ht="14.25" customHeight="1" x14ac:dyDescent="0.25">
      <c r="A417" s="8">
        <v>43969</v>
      </c>
      <c r="B417" s="9" t="s">
        <v>13</v>
      </c>
      <c r="C417" s="9">
        <v>28668</v>
      </c>
      <c r="D417" s="9">
        <v>2588148</v>
      </c>
      <c r="E417" s="7" cm="1">
        <f t="array" ref="E417">_xlfn.XLOOKUP($A417&amp;$B417,Лист2!$A:$A &amp; Лист2!$B:$B,Лист2!C:C)</f>
        <v>19</v>
      </c>
      <c r="F417" s="7" cm="1">
        <f t="array" ref="F417">_xlfn.XLOOKUP($A417&amp;$B417,Лист2!$A:$A &amp; Лист2!$B:$B,Лист2!D:D)</f>
        <v>1858</v>
      </c>
      <c r="G417" s="7" cm="1">
        <f t="array" ref="G417">_xlfn.XLOOKUP($A417&amp;$B417,Лист2!$A:$A &amp; Лист2!$B:$B,Лист2!E:E)</f>
        <v>1648</v>
      </c>
      <c r="H417">
        <f t="shared" si="12"/>
        <v>136218.32</v>
      </c>
      <c r="I417">
        <f t="shared" si="13"/>
        <v>21</v>
      </c>
    </row>
    <row r="418" spans="1:9" ht="14.25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 s="7" cm="1">
        <f t="array" ref="E418">_xlfn.XLOOKUP($A418&amp;$B418,Лист2!$A:$A &amp; Лист2!$B:$B,Лист2!C:C)</f>
        <v>19</v>
      </c>
      <c r="F418" s="7" cm="1">
        <f t="array" ref="F418">_xlfn.XLOOKUP($A418&amp;$B418,Лист2!$A:$A &amp; Лист2!$B:$B,Лист2!D:D)</f>
        <v>1675</v>
      </c>
      <c r="G418" s="7" cm="1">
        <f t="array" ref="G418">_xlfn.XLOOKUP($A418&amp;$B418,Лист2!$A:$A &amp; Лист2!$B:$B,Лист2!E:E)</f>
        <v>1475</v>
      </c>
      <c r="H418">
        <f t="shared" si="12"/>
        <v>128501.05</v>
      </c>
      <c r="I418">
        <f t="shared" si="13"/>
        <v>20</v>
      </c>
    </row>
    <row r="419" spans="1:9" ht="14.25" customHeight="1" x14ac:dyDescent="0.25">
      <c r="A419" s="8">
        <v>43966</v>
      </c>
      <c r="B419" s="9" t="s">
        <v>13</v>
      </c>
      <c r="C419" s="9">
        <v>32854.5</v>
      </c>
      <c r="D419" s="9">
        <v>2949078</v>
      </c>
      <c r="E419" s="7" cm="1">
        <f t="array" ref="E419">_xlfn.XLOOKUP($A419&amp;$B419,Лист2!$A:$A &amp; Лист2!$B:$B,Лист2!C:C)</f>
        <v>19</v>
      </c>
      <c r="F419" s="7" cm="1">
        <f t="array" ref="F419">_xlfn.XLOOKUP($A419&amp;$B419,Лист2!$A:$A &amp; Лист2!$B:$B,Лист2!D:D)</f>
        <v>1940</v>
      </c>
      <c r="G419" s="7" cm="1">
        <f t="array" ref="G419">_xlfn.XLOOKUP($A419&amp;$B419,Лист2!$A:$A &amp; Лист2!$B:$B,Лист2!E:E)</f>
        <v>1715</v>
      </c>
      <c r="H419">
        <f t="shared" si="12"/>
        <v>155214.63</v>
      </c>
      <c r="I419">
        <f t="shared" si="13"/>
        <v>20</v>
      </c>
    </row>
    <row r="420" spans="1:9" ht="14.25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 s="7" cm="1">
        <f t="array" ref="E420">_xlfn.XLOOKUP($A420&amp;$B420,Лист2!$A:$A &amp; Лист2!$B:$B,Лист2!C:C)</f>
        <v>20</v>
      </c>
      <c r="F420" s="7" cm="1">
        <f t="array" ref="F420">_xlfn.XLOOKUP($A420&amp;$B420,Лист2!$A:$A &amp; Лист2!$B:$B,Лист2!D:D)</f>
        <v>2249</v>
      </c>
      <c r="G420" s="7" cm="1">
        <f t="array" ref="G420">_xlfn.XLOOKUP($A420&amp;$B420,Лист2!$A:$A &amp; Лист2!$B:$B,Лист2!E:E)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25">
      <c r="A421" s="8">
        <v>43978</v>
      </c>
      <c r="B421" s="9" t="s">
        <v>14</v>
      </c>
      <c r="C421" s="9">
        <v>286558.5</v>
      </c>
      <c r="D421" s="9">
        <v>29256993</v>
      </c>
      <c r="E421" s="7" cm="1">
        <f t="array" ref="E421">_xlfn.XLOOKUP($A421&amp;$B421,Лист2!$A:$A &amp; Лист2!$B:$B,Лист2!C:C)</f>
        <v>129</v>
      </c>
      <c r="F421" s="7" cm="1">
        <f t="array" ref="F421">_xlfn.XLOOKUP($A421&amp;$B421,Лист2!$A:$A &amp; Лист2!$B:$B,Лист2!D:D)</f>
        <v>17115</v>
      </c>
      <c r="G421" s="7" cm="1">
        <f t="array" ref="G421">_xlfn.XLOOKUP($A421&amp;$B421,Лист2!$A:$A &amp; Лист2!$B:$B,Лист2!E:E)</f>
        <v>15962</v>
      </c>
      <c r="H421">
        <f t="shared" si="12"/>
        <v>226798.4</v>
      </c>
      <c r="I421">
        <f t="shared" si="13"/>
        <v>22</v>
      </c>
    </row>
    <row r="422" spans="1:9" ht="14.25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 s="7" cm="1">
        <f t="array" ref="E422">_xlfn.XLOOKUP($A422&amp;$B422,Лист2!$A:$A &amp; Лист2!$B:$B,Лист2!C:C)</f>
        <v>129</v>
      </c>
      <c r="F422" s="7" cm="1">
        <f t="array" ref="F422">_xlfn.XLOOKUP($A422&amp;$B422,Лист2!$A:$A &amp; Лист2!$B:$B,Лист2!D:D)</f>
        <v>17088</v>
      </c>
      <c r="G422" s="7" cm="1">
        <f t="array" ref="G422">_xlfn.XLOOKUP($A422&amp;$B422,Лист2!$A:$A &amp; Лист2!$B:$B,Лист2!E:E)</f>
        <v>15804</v>
      </c>
      <c r="H422">
        <f t="shared" si="12"/>
        <v>228416.81</v>
      </c>
      <c r="I422">
        <f t="shared" si="13"/>
        <v>21</v>
      </c>
    </row>
    <row r="423" spans="1:9" ht="14.25" customHeight="1" x14ac:dyDescent="0.25">
      <c r="A423" s="8">
        <v>43983</v>
      </c>
      <c r="B423" s="9" t="s">
        <v>14</v>
      </c>
      <c r="C423" s="9">
        <v>272926.5</v>
      </c>
      <c r="D423" s="9">
        <v>27770092.5</v>
      </c>
      <c r="E423" s="7" cm="1">
        <f t="array" ref="E423">_xlfn.XLOOKUP($A423&amp;$B423,Лист2!$A:$A &amp; Лист2!$B:$B,Лист2!C:C)</f>
        <v>128</v>
      </c>
      <c r="F423" s="7" cm="1">
        <f t="array" ref="F423">_xlfn.XLOOKUP($A423&amp;$B423,Лист2!$A:$A &amp; Лист2!$B:$B,Лист2!D:D)</f>
        <v>16285</v>
      </c>
      <c r="G423" s="7" cm="1">
        <f t="array" ref="G423">_xlfn.XLOOKUP($A423&amp;$B423,Лист2!$A:$A &amp; Лист2!$B:$B,Лист2!E:E)</f>
        <v>15130</v>
      </c>
      <c r="H423">
        <f t="shared" si="12"/>
        <v>216953.85</v>
      </c>
      <c r="I423">
        <f t="shared" si="13"/>
        <v>23</v>
      </c>
    </row>
    <row r="424" spans="1:9" ht="14.25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 s="7" cm="1">
        <f t="array" ref="E424">_xlfn.XLOOKUP($A424&amp;$B424,Лист2!$A:$A &amp; Лист2!$B:$B,Лист2!C:C)</f>
        <v>129</v>
      </c>
      <c r="F424" s="7" cm="1">
        <f t="array" ref="F424">_xlfn.XLOOKUP($A424&amp;$B424,Лист2!$A:$A &amp; Лист2!$B:$B,Лист2!D:D)</f>
        <v>14043</v>
      </c>
      <c r="G424" s="7" cm="1">
        <f t="array" ref="G424">_xlfn.XLOOKUP($A424&amp;$B424,Лист2!$A:$A &amp; Лист2!$B:$B,Лист2!E:E)</f>
        <v>13167</v>
      </c>
      <c r="H424">
        <f t="shared" si="12"/>
        <v>190916.54</v>
      </c>
      <c r="I424">
        <f t="shared" si="13"/>
        <v>20</v>
      </c>
    </row>
    <row r="425" spans="1:9" ht="14.25" customHeight="1" x14ac:dyDescent="0.25">
      <c r="A425" s="8">
        <v>43969</v>
      </c>
      <c r="B425" s="9" t="s">
        <v>14</v>
      </c>
      <c r="C425" s="9">
        <v>273900</v>
      </c>
      <c r="D425" s="9">
        <v>27535284.147600003</v>
      </c>
      <c r="E425" s="7" cm="1">
        <f t="array" ref="E425">_xlfn.XLOOKUP($A425&amp;$B425,Лист2!$A:$A &amp; Лист2!$B:$B,Лист2!C:C)</f>
        <v>129</v>
      </c>
      <c r="F425" s="7" cm="1">
        <f t="array" ref="F425">_xlfn.XLOOKUP($A425&amp;$B425,Лист2!$A:$A &amp; Лист2!$B:$B,Лист2!D:D)</f>
        <v>16110</v>
      </c>
      <c r="G425" s="7" cm="1">
        <f t="array" ref="G425">_xlfn.XLOOKUP($A425&amp;$B425,Лист2!$A:$A &amp; Лист2!$B:$B,Лист2!E:E)</f>
        <v>14992</v>
      </c>
      <c r="H425">
        <f t="shared" si="12"/>
        <v>213451.82</v>
      </c>
      <c r="I425">
        <f t="shared" si="13"/>
        <v>21</v>
      </c>
    </row>
    <row r="426" spans="1:9" ht="14.25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 s="7" cm="1">
        <f t="array" ref="E426">_xlfn.XLOOKUP($A426&amp;$B426,Лист2!$A:$A &amp; Лист2!$B:$B,Лист2!C:C)</f>
        <v>129</v>
      </c>
      <c r="F426" s="7" cm="1">
        <f t="array" ref="F426">_xlfn.XLOOKUP($A426&amp;$B426,Лист2!$A:$A &amp; Лист2!$B:$B,Лист2!D:D)</f>
        <v>15804</v>
      </c>
      <c r="G426" s="7" cm="1">
        <f t="array" ref="G426">_xlfn.XLOOKUP($A426&amp;$B426,Лист2!$A:$A &amp; Лист2!$B:$B,Лист2!E:E)</f>
        <v>14738</v>
      </c>
      <c r="H426">
        <f t="shared" si="12"/>
        <v>218459.63</v>
      </c>
      <c r="I426">
        <f t="shared" si="13"/>
        <v>20</v>
      </c>
    </row>
    <row r="427" spans="1:9" ht="14.25" customHeight="1" x14ac:dyDescent="0.25">
      <c r="A427" s="8">
        <v>43966</v>
      </c>
      <c r="B427" s="9" t="s">
        <v>14</v>
      </c>
      <c r="C427" s="9">
        <v>318816</v>
      </c>
      <c r="D427" s="9">
        <v>32354331</v>
      </c>
      <c r="E427" s="7" cm="1">
        <f t="array" ref="E427">_xlfn.XLOOKUP($A427&amp;$B427,Лист2!$A:$A &amp; Лист2!$B:$B,Лист2!C:C)</f>
        <v>129</v>
      </c>
      <c r="F427" s="7" cm="1">
        <f t="array" ref="F427">_xlfn.XLOOKUP($A427&amp;$B427,Лист2!$A:$A &amp; Лист2!$B:$B,Лист2!D:D)</f>
        <v>17808</v>
      </c>
      <c r="G427" s="7" cm="1">
        <f t="array" ref="G427">_xlfn.XLOOKUP($A427&amp;$B427,Лист2!$A:$A &amp; Лист2!$B:$B,Лист2!E:E)</f>
        <v>16486</v>
      </c>
      <c r="H427">
        <f t="shared" si="12"/>
        <v>250808.77</v>
      </c>
      <c r="I427">
        <f t="shared" si="13"/>
        <v>20</v>
      </c>
    </row>
    <row r="428" spans="1:9" ht="14.25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 s="7" cm="1">
        <f t="array" ref="E428">_xlfn.XLOOKUP($A428&amp;$B428,Лист2!$A:$A &amp; Лист2!$B:$B,Лист2!C:C)</f>
        <v>124</v>
      </c>
      <c r="F428" s="7" cm="1">
        <f t="array" ref="F428">_xlfn.XLOOKUP($A428&amp;$B428,Лист2!$A:$A &amp; Лист2!$B:$B,Лист2!D:D)</f>
        <v>21384</v>
      </c>
      <c r="G428" s="7" cm="1">
        <f t="array" ref="G428">_xlfn.XLOOKUP($A428&amp;$B428,Лист2!$A:$A &amp; Лист2!$B:$B,Лист2!E:E)</f>
        <v>19897</v>
      </c>
      <c r="H428">
        <f t="shared" si="12"/>
        <v>314797.27</v>
      </c>
      <c r="I428">
        <f t="shared" si="13"/>
        <v>22</v>
      </c>
    </row>
    <row r="429" spans="1:9" ht="14.25" customHeight="1" x14ac:dyDescent="0.25">
      <c r="A429" s="8">
        <v>43973</v>
      </c>
      <c r="B429" s="9" t="s">
        <v>15</v>
      </c>
      <c r="C429" s="9">
        <v>393018</v>
      </c>
      <c r="D429" s="9">
        <v>39498373.5</v>
      </c>
      <c r="E429" s="7" cm="1">
        <f t="array" ref="E429">_xlfn.XLOOKUP($A429&amp;$B429,Лист2!$A:$A &amp; Лист2!$B:$B,Лист2!C:C)</f>
        <v>125</v>
      </c>
      <c r="F429" s="7" cm="1">
        <f t="array" ref="F429">_xlfn.XLOOKUP($A429&amp;$B429,Лист2!$A:$A &amp; Лист2!$B:$B,Лист2!D:D)</f>
        <v>21427</v>
      </c>
      <c r="G429" s="7" cm="1">
        <f t="array" ref="G429">_xlfn.XLOOKUP($A429&amp;$B429,Лист2!$A:$A &amp; Лист2!$B:$B,Лист2!E:E)</f>
        <v>19799</v>
      </c>
      <c r="H429">
        <f t="shared" si="12"/>
        <v>315986.99</v>
      </c>
      <c r="I429">
        <f t="shared" si="13"/>
        <v>21</v>
      </c>
    </row>
    <row r="430" spans="1:9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 s="7" cm="1">
        <f t="array" ref="E430">_xlfn.XLOOKUP($A430&amp;$B430,Лист2!$A:$A &amp; Лист2!$B:$B,Лист2!C:C)</f>
        <v>123</v>
      </c>
      <c r="F430" s="7" cm="1">
        <f t="array" ref="F430">_xlfn.XLOOKUP($A430&amp;$B430,Лист2!$A:$A &amp; Лист2!$B:$B,Лист2!D:D)</f>
        <v>20325</v>
      </c>
      <c r="G430" s="7" cm="1">
        <f t="array" ref="G430">_xlfn.XLOOKUP($A430&amp;$B430,Лист2!$A:$A &amp; Лист2!$B:$B,Лист2!E:E)</f>
        <v>18935</v>
      </c>
      <c r="H430">
        <f t="shared" si="12"/>
        <v>302909.27</v>
      </c>
      <c r="I430">
        <f t="shared" si="13"/>
        <v>23</v>
      </c>
    </row>
    <row r="431" spans="1:9" ht="14.25" customHeight="1" x14ac:dyDescent="0.25">
      <c r="A431" s="8">
        <v>43962</v>
      </c>
      <c r="B431" s="9" t="s">
        <v>15</v>
      </c>
      <c r="C431" s="9">
        <v>318565.5</v>
      </c>
      <c r="D431" s="9">
        <v>33781581</v>
      </c>
      <c r="E431" s="7" cm="1">
        <f t="array" ref="E431">_xlfn.XLOOKUP($A431&amp;$B431,Лист2!$A:$A &amp; Лист2!$B:$B,Лист2!C:C)</f>
        <v>125</v>
      </c>
      <c r="F431" s="7" cm="1">
        <f t="array" ref="F431">_xlfn.XLOOKUP($A431&amp;$B431,Лист2!$A:$A &amp; Лист2!$B:$B,Лист2!D:D)</f>
        <v>18066</v>
      </c>
      <c r="G431" s="7" cm="1">
        <f t="array" ref="G431">_xlfn.XLOOKUP($A431&amp;$B431,Лист2!$A:$A &amp; Лист2!$B:$B,Лист2!E:E)</f>
        <v>16883</v>
      </c>
      <c r="H431">
        <f t="shared" si="12"/>
        <v>270252.65000000002</v>
      </c>
      <c r="I431">
        <f t="shared" si="13"/>
        <v>20</v>
      </c>
    </row>
    <row r="432" spans="1:9" ht="14.25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 s="7" cm="1">
        <f t="array" ref="E432">_xlfn.XLOOKUP($A432&amp;$B432,Лист2!$A:$A &amp; Лист2!$B:$B,Лист2!C:C)</f>
        <v>129</v>
      </c>
      <c r="F432" s="7" cm="1">
        <f t="array" ref="F432">_xlfn.XLOOKUP($A432&amp;$B432,Лист2!$A:$A &amp; Лист2!$B:$B,Лист2!D:D)</f>
        <v>22403</v>
      </c>
      <c r="G432" s="7" cm="1">
        <f t="array" ref="G432">_xlfn.XLOOKUP($A432&amp;$B432,Лист2!$A:$A &amp; Лист2!$B:$B,Лист2!E:E)</f>
        <v>20676</v>
      </c>
      <c r="H432">
        <f t="shared" si="12"/>
        <v>323776.28000000003</v>
      </c>
      <c r="I432">
        <f t="shared" si="13"/>
        <v>22</v>
      </c>
    </row>
    <row r="433" spans="1:9" ht="14.25" customHeight="1" x14ac:dyDescent="0.25">
      <c r="A433" s="8">
        <v>43969</v>
      </c>
      <c r="B433" s="9" t="s">
        <v>15</v>
      </c>
      <c r="C433" s="9">
        <v>355081.5</v>
      </c>
      <c r="D433" s="9">
        <v>36876888</v>
      </c>
      <c r="E433" s="7" cm="1">
        <f t="array" ref="E433">_xlfn.XLOOKUP($A433&amp;$B433,Лист2!$A:$A &amp; Лист2!$B:$B,Лист2!C:C)</f>
        <v>125</v>
      </c>
      <c r="F433" s="7" cm="1">
        <f t="array" ref="F433">_xlfn.XLOOKUP($A433&amp;$B433,Лист2!$A:$A &amp; Лист2!$B:$B,Лист2!D:D)</f>
        <v>20449</v>
      </c>
      <c r="G433" s="7" cm="1">
        <f t="array" ref="G433">_xlfn.XLOOKUP($A433&amp;$B433,Лист2!$A:$A &amp; Лист2!$B:$B,Лист2!E:E)</f>
        <v>19060</v>
      </c>
      <c r="H433">
        <f t="shared" si="12"/>
        <v>295015.09999999998</v>
      </c>
      <c r="I433">
        <f t="shared" si="13"/>
        <v>21</v>
      </c>
    </row>
    <row r="434" spans="1:9" ht="14.25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 s="7" cm="1">
        <f t="array" ref="E434">_xlfn.XLOOKUP($A434&amp;$B434,Лист2!$A:$A &amp; Лист2!$B:$B,Лист2!C:C)</f>
        <v>125</v>
      </c>
      <c r="F434" s="7" cm="1">
        <f t="array" ref="F434">_xlfn.XLOOKUP($A434&amp;$B434,Лист2!$A:$A &amp; Лист2!$B:$B,Лист2!D:D)</f>
        <v>20247</v>
      </c>
      <c r="G434" s="7" cm="1">
        <f t="array" ref="G434">_xlfn.XLOOKUP($A434&amp;$B434,Лист2!$A:$A &amp; Лист2!$B:$B,Лист2!E:E)</f>
        <v>18812</v>
      </c>
      <c r="H434">
        <f t="shared" si="12"/>
        <v>303705.2</v>
      </c>
      <c r="I434">
        <f t="shared" si="13"/>
        <v>20</v>
      </c>
    </row>
    <row r="435" spans="1:9" ht="14.25" customHeight="1" x14ac:dyDescent="0.25">
      <c r="A435" s="8">
        <v>43966</v>
      </c>
      <c r="B435" s="9" t="s">
        <v>15</v>
      </c>
      <c r="C435" s="9">
        <v>403261.5</v>
      </c>
      <c r="D435" s="9">
        <v>42271377</v>
      </c>
      <c r="E435" s="7" cm="1">
        <f t="array" ref="E435">_xlfn.XLOOKUP($A435&amp;$B435,Лист2!$A:$A &amp; Лист2!$B:$B,Лист2!C:C)</f>
        <v>125</v>
      </c>
      <c r="F435" s="7" cm="1">
        <f t="array" ref="F435">_xlfn.XLOOKUP($A435&amp;$B435,Лист2!$A:$A &amp; Лист2!$B:$B,Лист2!D:D)</f>
        <v>21862</v>
      </c>
      <c r="G435" s="7" cm="1">
        <f t="array" ref="G435">_xlfn.XLOOKUP($A435&amp;$B435,Лист2!$A:$A &amp; Лист2!$B:$B,Лист2!E:E)</f>
        <v>20235</v>
      </c>
      <c r="H435">
        <f t="shared" si="12"/>
        <v>338171.02</v>
      </c>
      <c r="I435">
        <f t="shared" si="13"/>
        <v>20</v>
      </c>
    </row>
    <row r="436" spans="1:9" ht="14.25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 s="7" cm="1">
        <f t="array" ref="E436">_xlfn.XLOOKUP($A436&amp;$B436,Лист2!$A:$A &amp; Лист2!$B:$B,Лист2!C:C)</f>
        <v>36</v>
      </c>
      <c r="F436" s="7" cm="1">
        <f t="array" ref="F436">_xlfn.XLOOKUP($A436&amp;$B436,Лист2!$A:$A &amp; Лист2!$B:$B,Лист2!D:D)</f>
        <v>4951</v>
      </c>
      <c r="G436" s="7" cm="1">
        <f t="array" ref="G436">_xlfn.XLOOKUP($A436&amp;$B436,Лист2!$A:$A &amp; Лист2!$B:$B,Лист2!E:E)</f>
        <v>4584</v>
      </c>
      <c r="H436">
        <f t="shared" si="12"/>
        <v>166274.82999999999</v>
      </c>
      <c r="I436">
        <f t="shared" si="13"/>
        <v>22</v>
      </c>
    </row>
    <row r="437" spans="1:9" ht="14.25" customHeight="1" x14ac:dyDescent="0.25">
      <c r="A437" s="8">
        <v>43973</v>
      </c>
      <c r="B437" s="9" t="s">
        <v>16</v>
      </c>
      <c r="C437" s="9">
        <v>75820.5</v>
      </c>
      <c r="D437" s="9">
        <v>5943489</v>
      </c>
      <c r="E437" s="7" cm="1">
        <f t="array" ref="E437">_xlfn.XLOOKUP($A437&amp;$B437,Лист2!$A:$A &amp; Лист2!$B:$B,Лист2!C:C)</f>
        <v>36</v>
      </c>
      <c r="F437" s="7" cm="1">
        <f t="array" ref="F437">_xlfn.XLOOKUP($A437&amp;$B437,Лист2!$A:$A &amp; Лист2!$B:$B,Лист2!D:D)</f>
        <v>4857</v>
      </c>
      <c r="G437" s="7" cm="1">
        <f t="array" ref="G437">_xlfn.XLOOKUP($A437&amp;$B437,Лист2!$A:$A &amp; Лист2!$B:$B,Лист2!E:E)</f>
        <v>4456</v>
      </c>
      <c r="H437">
        <f t="shared" si="12"/>
        <v>165096.92000000001</v>
      </c>
      <c r="I437">
        <f t="shared" si="13"/>
        <v>21</v>
      </c>
    </row>
    <row r="438" spans="1:9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 s="7" cm="1">
        <f t="array" ref="E438">_xlfn.XLOOKUP($A438&amp;$B438,Лист2!$A:$A &amp; Лист2!$B:$B,Лист2!C:C)</f>
        <v>37</v>
      </c>
      <c r="F438" s="7" cm="1">
        <f t="array" ref="F438">_xlfn.XLOOKUP($A438&amp;$B438,Лист2!$A:$A &amp; Лист2!$B:$B,Лист2!D:D)</f>
        <v>4722</v>
      </c>
      <c r="G438" s="7" cm="1">
        <f t="array" ref="G438">_xlfn.XLOOKUP($A438&amp;$B438,Лист2!$A:$A &amp; Лист2!$B:$B,Лист2!E:E)</f>
        <v>4352</v>
      </c>
      <c r="H438">
        <f t="shared" si="12"/>
        <v>156764.59</v>
      </c>
      <c r="I438">
        <f t="shared" si="13"/>
        <v>23</v>
      </c>
    </row>
    <row r="439" spans="1:9" ht="14.25" customHeight="1" x14ac:dyDescent="0.25">
      <c r="A439" s="8">
        <v>43962</v>
      </c>
      <c r="B439" s="9" t="s">
        <v>16</v>
      </c>
      <c r="C439" s="9">
        <v>59574</v>
      </c>
      <c r="D439" s="9">
        <v>5178169.5</v>
      </c>
      <c r="E439" s="7" cm="1">
        <f t="array" ref="E439">_xlfn.XLOOKUP($A439&amp;$B439,Лист2!$A:$A &amp; Лист2!$B:$B,Лист2!C:C)</f>
        <v>36</v>
      </c>
      <c r="F439" s="7" cm="1">
        <f t="array" ref="F439">_xlfn.XLOOKUP($A439&amp;$B439,Лист2!$A:$A &amp; Лист2!$B:$B,Лист2!D:D)</f>
        <v>4150</v>
      </c>
      <c r="G439" s="7" cm="1">
        <f t="array" ref="G439">_xlfn.XLOOKUP($A439&amp;$B439,Лист2!$A:$A &amp; Лист2!$B:$B,Лист2!E:E)</f>
        <v>3838</v>
      </c>
      <c r="H439">
        <f t="shared" si="12"/>
        <v>143838.04</v>
      </c>
      <c r="I439">
        <f t="shared" si="13"/>
        <v>20</v>
      </c>
    </row>
    <row r="440" spans="1:9" ht="14.25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 s="7" cm="1">
        <f t="array" ref="E440">_xlfn.XLOOKUP($A440&amp;$B440,Лист2!$A:$A &amp; Лист2!$B:$B,Лист2!C:C)</f>
        <v>124</v>
      </c>
      <c r="F440" s="7" cm="1">
        <f t="array" ref="F440">_xlfn.XLOOKUP($A440&amp;$B440,Лист2!$A:$A &amp; Лист2!$B:$B,Лист2!D:D)</f>
        <v>25828</v>
      </c>
      <c r="G440" s="7" cm="1">
        <f t="array" ref="G440">_xlfn.XLOOKUP($A440&amp;$B440,Лист2!$A:$A &amp; Лист2!$B:$B,Лист2!E:E)</f>
        <v>23974</v>
      </c>
      <c r="H440">
        <f t="shared" si="12"/>
        <v>436871.2</v>
      </c>
      <c r="I440">
        <f t="shared" si="13"/>
        <v>22</v>
      </c>
    </row>
    <row r="441" spans="1:9" ht="14.25" customHeight="1" x14ac:dyDescent="0.25">
      <c r="A441" s="8">
        <v>43969</v>
      </c>
      <c r="B441" s="9" t="s">
        <v>16</v>
      </c>
      <c r="C441" s="9">
        <v>70278</v>
      </c>
      <c r="D441" s="9">
        <v>5798476.5</v>
      </c>
      <c r="E441" s="7" cm="1">
        <f t="array" ref="E441">_xlfn.XLOOKUP($A441&amp;$B441,Лист2!$A:$A &amp; Лист2!$B:$B,Лист2!C:C)</f>
        <v>36</v>
      </c>
      <c r="F441" s="7" cm="1">
        <f t="array" ref="F441">_xlfn.XLOOKUP($A441&amp;$B441,Лист2!$A:$A &amp; Лист2!$B:$B,Лист2!D:D)</f>
        <v>4885</v>
      </c>
      <c r="G441" s="7" cm="1">
        <f t="array" ref="G441">_xlfn.XLOOKUP($A441&amp;$B441,Лист2!$A:$A &amp; Лист2!$B:$B,Лист2!E:E)</f>
        <v>4502</v>
      </c>
      <c r="H441">
        <f t="shared" si="12"/>
        <v>161068.79</v>
      </c>
      <c r="I441">
        <f t="shared" si="13"/>
        <v>21</v>
      </c>
    </row>
    <row r="442" spans="1:9" ht="14.25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 s="7" cm="1">
        <f t="array" ref="E442">_xlfn.XLOOKUP($A442&amp;$B442,Лист2!$A:$A &amp; Лист2!$B:$B,Лист2!C:C)</f>
        <v>36</v>
      </c>
      <c r="F442" s="7" cm="1">
        <f t="array" ref="F442">_xlfn.XLOOKUP($A442&amp;$B442,Лист2!$A:$A &amp; Лист2!$B:$B,Лист2!D:D)</f>
        <v>4285</v>
      </c>
      <c r="G442" s="7" cm="1">
        <f t="array" ref="G442">_xlfn.XLOOKUP($A442&amp;$B442,Лист2!$A:$A &amp; Лист2!$B:$B,Лист2!E:E)</f>
        <v>3950</v>
      </c>
      <c r="H442">
        <f t="shared" si="12"/>
        <v>149072.29</v>
      </c>
      <c r="I442">
        <f t="shared" si="13"/>
        <v>20</v>
      </c>
    </row>
    <row r="443" spans="1:9" ht="14.25" customHeight="1" x14ac:dyDescent="0.25">
      <c r="A443" s="8">
        <v>43966</v>
      </c>
      <c r="B443" s="9" t="s">
        <v>16</v>
      </c>
      <c r="C443" s="9">
        <v>75642</v>
      </c>
      <c r="D443" s="9">
        <v>6293952</v>
      </c>
      <c r="E443" s="7" cm="1">
        <f t="array" ref="E443">_xlfn.XLOOKUP($A443&amp;$B443,Лист2!$A:$A &amp; Лист2!$B:$B,Лист2!C:C)</f>
        <v>36</v>
      </c>
      <c r="F443" s="7" cm="1">
        <f t="array" ref="F443">_xlfn.XLOOKUP($A443&amp;$B443,Лист2!$A:$A &amp; Лист2!$B:$B,Лист2!D:D)</f>
        <v>4862</v>
      </c>
      <c r="G443" s="7" cm="1">
        <f t="array" ref="G443">_xlfn.XLOOKUP($A443&amp;$B443,Лист2!$A:$A &amp; Лист2!$B:$B,Лист2!E:E)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 s="7" cm="1">
        <f t="array" ref="E444">_xlfn.XLOOKUP($A444&amp;$B444,Лист2!$A:$A &amp; Лист2!$B:$B,Лист2!C:C)</f>
        <v>21</v>
      </c>
      <c r="F444" s="7" cm="1">
        <f t="array" ref="F444">_xlfn.XLOOKUP($A444&amp;$B444,Лист2!$A:$A &amp; Лист2!$B:$B,Лист2!D:D)</f>
        <v>2430</v>
      </c>
      <c r="G444" s="7" cm="1">
        <f t="array" ref="G444">_xlfn.XLOOKUP($A444&amp;$B444,Лист2!$A:$A &amp; Лист2!$B:$B,Лист2!E:E)</f>
        <v>2216</v>
      </c>
      <c r="H444">
        <f t="shared" si="12"/>
        <v>180040.57</v>
      </c>
      <c r="I444">
        <f t="shared" si="13"/>
        <v>22</v>
      </c>
    </row>
    <row r="445" spans="1:9" ht="14.25" customHeight="1" x14ac:dyDescent="0.25">
      <c r="A445" s="8">
        <v>43973</v>
      </c>
      <c r="B445" s="9" t="s">
        <v>17</v>
      </c>
      <c r="C445" s="9">
        <v>53838</v>
      </c>
      <c r="D445" s="9">
        <v>4840833</v>
      </c>
      <c r="E445" s="7" cm="1">
        <f t="array" ref="E445">_xlfn.XLOOKUP($A445&amp;$B445,Лист2!$A:$A &amp; Лист2!$B:$B,Лист2!C:C)</f>
        <v>21</v>
      </c>
      <c r="F445" s="7" cm="1">
        <f t="array" ref="F445">_xlfn.XLOOKUP($A445&amp;$B445,Лист2!$A:$A &amp; Лист2!$B:$B,Лист2!D:D)</f>
        <v>2861</v>
      </c>
      <c r="G445" s="7" cm="1">
        <f t="array" ref="G445">_xlfn.XLOOKUP($A445&amp;$B445,Лист2!$A:$A &amp; Лист2!$B:$B,Лист2!E:E)</f>
        <v>2612</v>
      </c>
      <c r="H445">
        <f t="shared" si="12"/>
        <v>230515.86</v>
      </c>
      <c r="I445">
        <f t="shared" si="13"/>
        <v>21</v>
      </c>
    </row>
    <row r="446" spans="1:9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 s="7" cm="1">
        <f t="array" ref="E446">_xlfn.XLOOKUP($A446&amp;$B446,Лист2!$A:$A &amp; Лист2!$B:$B,Лист2!C:C)</f>
        <v>23</v>
      </c>
      <c r="F446" s="7" cm="1">
        <f t="array" ref="F446">_xlfn.XLOOKUP($A446&amp;$B446,Лист2!$A:$A &amp; Лист2!$B:$B,Лист2!D:D)</f>
        <v>2531</v>
      </c>
      <c r="G446" s="7" cm="1">
        <f t="array" ref="G446">_xlfn.XLOOKUP($A446&amp;$B446,Лист2!$A:$A &amp; Лист2!$B:$B,Лист2!E:E)</f>
        <v>2296</v>
      </c>
      <c r="H446">
        <f t="shared" si="12"/>
        <v>168054.39</v>
      </c>
      <c r="I446">
        <f t="shared" si="13"/>
        <v>23</v>
      </c>
    </row>
    <row r="447" spans="1:9" ht="14.25" customHeight="1" x14ac:dyDescent="0.25">
      <c r="A447" s="8">
        <v>43962</v>
      </c>
      <c r="B447" s="9" t="s">
        <v>17</v>
      </c>
      <c r="C447" s="9">
        <v>32733</v>
      </c>
      <c r="D447" s="9">
        <v>3079630.5</v>
      </c>
      <c r="E447" s="7" cm="1">
        <f t="array" ref="E447">_xlfn.XLOOKUP($A447&amp;$B447,Лист2!$A:$A &amp; Лист2!$B:$B,Лист2!C:C)</f>
        <v>21</v>
      </c>
      <c r="F447" s="7" cm="1">
        <f t="array" ref="F447">_xlfn.XLOOKUP($A447&amp;$B447,Лист2!$A:$A &amp; Лист2!$B:$B,Лист2!D:D)</f>
        <v>1916</v>
      </c>
      <c r="G447" s="7" cm="1">
        <f t="array" ref="G447">_xlfn.XLOOKUP($A447&amp;$B447,Лист2!$A:$A &amp; Лист2!$B:$B,Лист2!E:E)</f>
        <v>1733</v>
      </c>
      <c r="H447">
        <f t="shared" si="12"/>
        <v>146649.07</v>
      </c>
      <c r="I447">
        <f t="shared" si="13"/>
        <v>20</v>
      </c>
    </row>
    <row r="448" spans="1:9" ht="14.25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 s="7" cm="1">
        <f t="array" ref="E448">_xlfn.XLOOKUP($A448&amp;$B448,Лист2!$A:$A &amp; Лист2!$B:$B,Лист2!C:C)</f>
        <v>37</v>
      </c>
      <c r="F448" s="7" cm="1">
        <f t="array" ref="F448">_xlfn.XLOOKUP($A448&amp;$B448,Лист2!$A:$A &amp; Лист2!$B:$B,Лист2!D:D)</f>
        <v>5672</v>
      </c>
      <c r="G448" s="7" cm="1">
        <f t="array" ref="G448">_xlfn.XLOOKUP($A448&amp;$B448,Лист2!$A:$A &amp; Лист2!$B:$B,Лист2!E:E)</f>
        <v>5198</v>
      </c>
      <c r="H448">
        <f t="shared" si="12"/>
        <v>195362.03</v>
      </c>
      <c r="I448">
        <f t="shared" si="13"/>
        <v>22</v>
      </c>
    </row>
    <row r="449" spans="1:9" ht="14.25" customHeight="1" x14ac:dyDescent="0.25">
      <c r="A449" s="8">
        <v>43969</v>
      </c>
      <c r="B449" s="9" t="s">
        <v>17</v>
      </c>
      <c r="C449" s="9">
        <v>36655.5</v>
      </c>
      <c r="D449" s="9">
        <v>3360135</v>
      </c>
      <c r="E449" s="7" cm="1">
        <f t="array" ref="E449">_xlfn.XLOOKUP($A449&amp;$B449,Лист2!$A:$A &amp; Лист2!$B:$B,Лист2!C:C)</f>
        <v>21</v>
      </c>
      <c r="F449" s="7" cm="1">
        <f t="array" ref="F449">_xlfn.XLOOKUP($A449&amp;$B449,Лист2!$A:$A &amp; Лист2!$B:$B,Лист2!D:D)</f>
        <v>2136</v>
      </c>
      <c r="G449" s="7" cm="1">
        <f t="array" ref="G449">_xlfn.XLOOKUP($A449&amp;$B449,Лист2!$A:$A &amp; Лист2!$B:$B,Лист2!E:E)</f>
        <v>1947</v>
      </c>
      <c r="H449">
        <f t="shared" si="12"/>
        <v>160006.43</v>
      </c>
      <c r="I449">
        <f t="shared" si="13"/>
        <v>21</v>
      </c>
    </row>
    <row r="450" spans="1:9" ht="14.25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 s="7" cm="1">
        <f t="array" ref="E450">_xlfn.XLOOKUP($A450&amp;$B450,Лист2!$A:$A &amp; Лист2!$B:$B,Лист2!C:C)</f>
        <v>21</v>
      </c>
      <c r="F450" s="7" cm="1">
        <f t="array" ref="F450">_xlfn.XLOOKUP($A450&amp;$B450,Лист2!$A:$A &amp; Лист2!$B:$B,Лист2!D:D)</f>
        <v>1993</v>
      </c>
      <c r="G450" s="7" cm="1">
        <f t="array" ref="G450">_xlfn.XLOOKUP($A450&amp;$B450,Лист2!$A:$A &amp; Лист2!$B:$B,Лист2!E:E)</f>
        <v>1796</v>
      </c>
      <c r="H450">
        <f t="shared" si="12"/>
        <v>150784.71</v>
      </c>
      <c r="I450">
        <f t="shared" si="13"/>
        <v>20</v>
      </c>
    </row>
    <row r="451" spans="1:9" ht="14.25" customHeight="1" x14ac:dyDescent="0.25">
      <c r="A451" s="8">
        <v>43966</v>
      </c>
      <c r="B451" s="9" t="s">
        <v>17</v>
      </c>
      <c r="C451" s="9">
        <v>41697</v>
      </c>
      <c r="D451" s="9">
        <v>3772258.5</v>
      </c>
      <c r="E451" s="7" cm="1">
        <f t="array" ref="E451">_xlfn.XLOOKUP($A451&amp;$B451,Лист2!$A:$A &amp; Лист2!$B:$B,Лист2!C:C)</f>
        <v>21</v>
      </c>
      <c r="F451" s="7" cm="1">
        <f t="array" ref="F451">_xlfn.XLOOKUP($A451&amp;$B451,Лист2!$A:$A &amp; Лист2!$B:$B,Лист2!D:D)</f>
        <v>2255</v>
      </c>
      <c r="G451" s="7" cm="1">
        <f t="array" ref="G451">_xlfn.XLOOKUP($A451&amp;$B451,Лист2!$A:$A &amp; Лист2!$B:$B,Лист2!E:E)</f>
        <v>2045</v>
      </c>
      <c r="H451">
        <f t="shared" ref="H451:H505" si="14">ROUND(D451/E451,2)</f>
        <v>179631.35999999999</v>
      </c>
      <c r="I451">
        <f t="shared" ref="I451:I505" si="15">WEEKNUM(A451,2)</f>
        <v>20</v>
      </c>
    </row>
    <row r="452" spans="1:9" ht="14.25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 s="7" cm="1">
        <f t="array" ref="E452">_xlfn.XLOOKUP($A452&amp;$B452,Лист2!$A:$A &amp; Лист2!$B:$B,Лист2!C:C)</f>
        <v>22</v>
      </c>
      <c r="F452" s="7" cm="1">
        <f t="array" ref="F452">_xlfn.XLOOKUP($A452&amp;$B452,Лист2!$A:$A &amp; Лист2!$B:$B,Лист2!D:D)</f>
        <v>2597</v>
      </c>
      <c r="G452" s="7" cm="1">
        <f t="array" ref="G452">_xlfn.XLOOKUP($A452&amp;$B452,Лист2!$A:$A &amp; Лист2!$B:$B,Лист2!E:E)</f>
        <v>2379</v>
      </c>
      <c r="H452">
        <f t="shared" si="14"/>
        <v>186754.36</v>
      </c>
      <c r="I452">
        <f t="shared" si="15"/>
        <v>22</v>
      </c>
    </row>
    <row r="453" spans="1:9" ht="14.25" customHeight="1" x14ac:dyDescent="0.25">
      <c r="A453" s="8">
        <v>43978</v>
      </c>
      <c r="B453" s="9" t="s">
        <v>18</v>
      </c>
      <c r="C453" s="9">
        <v>18069</v>
      </c>
      <c r="D453" s="9">
        <v>1603084.5</v>
      </c>
      <c r="E453" s="7" cm="1">
        <f t="array" ref="E453">_xlfn.XLOOKUP($A453&amp;$B453,Лист2!$A:$A &amp; Лист2!$B:$B,Лист2!C:C)</f>
        <v>17</v>
      </c>
      <c r="F453" s="7" cm="1">
        <f t="array" ref="F453">_xlfn.XLOOKUP($A453&amp;$B453,Лист2!$A:$A &amp; Лист2!$B:$B,Лист2!D:D)</f>
        <v>1203</v>
      </c>
      <c r="G453" s="7" cm="1">
        <f t="array" ref="G453">_xlfn.XLOOKUP($A453&amp;$B453,Лист2!$A:$A &amp; Лист2!$B:$B,Лист2!E:E)</f>
        <v>1077</v>
      </c>
      <c r="H453">
        <f t="shared" si="14"/>
        <v>94299.09</v>
      </c>
      <c r="I453">
        <f t="shared" si="15"/>
        <v>22</v>
      </c>
    </row>
    <row r="454" spans="1:9" ht="14.25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 s="7" cm="1">
        <f t="array" ref="E454">_xlfn.XLOOKUP($A454&amp;$B454,Лист2!$A:$A &amp; Лист2!$B:$B,Лист2!C:C)</f>
        <v>17</v>
      </c>
      <c r="F454" s="7" cm="1">
        <f t="array" ref="F454">_xlfn.XLOOKUP($A454&amp;$B454,Лист2!$A:$A &amp; Лист2!$B:$B,Лист2!D:D)</f>
        <v>1268</v>
      </c>
      <c r="G454" s="7" cm="1">
        <f t="array" ref="G454">_xlfn.XLOOKUP($A454&amp;$B454,Лист2!$A:$A &amp; Лист2!$B:$B,Лист2!E:E)</f>
        <v>1129</v>
      </c>
      <c r="H454">
        <f t="shared" si="14"/>
        <v>104372.29</v>
      </c>
      <c r="I454">
        <f t="shared" si="15"/>
        <v>21</v>
      </c>
    </row>
    <row r="455" spans="1:9" ht="14.25" customHeight="1" x14ac:dyDescent="0.25">
      <c r="A455" s="8">
        <v>43983</v>
      </c>
      <c r="B455" s="9" t="s">
        <v>18</v>
      </c>
      <c r="C455" s="9">
        <v>16687.5</v>
      </c>
      <c r="D455" s="9">
        <v>1526608.5</v>
      </c>
      <c r="E455" s="7" cm="1">
        <f t="array" ref="E455">_xlfn.XLOOKUP($A455&amp;$B455,Лист2!$A:$A &amp; Лист2!$B:$B,Лист2!C:C)</f>
        <v>17</v>
      </c>
      <c r="F455" s="7" cm="1">
        <f t="array" ref="F455">_xlfn.XLOOKUP($A455&amp;$B455,Лист2!$A:$A &amp; Лист2!$B:$B,Лист2!D:D)</f>
        <v>1185</v>
      </c>
      <c r="G455" s="7" cm="1">
        <f t="array" ref="G455">_xlfn.XLOOKUP($A455&amp;$B455,Лист2!$A:$A &amp; Лист2!$B:$B,Лист2!E:E)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 s="7" cm="1">
        <f t="array" ref="E456">_xlfn.XLOOKUP($A456&amp;$B456,Лист2!$A:$A &amp; Лист2!$B:$B,Лист2!C:C)</f>
        <v>15</v>
      </c>
      <c r="F456" s="7" cm="1">
        <f t="array" ref="F456">_xlfn.XLOOKUP($A456&amp;$B456,Лист2!$A:$A &amp; Лист2!$B:$B,Лист2!D:D)</f>
        <v>812</v>
      </c>
      <c r="G456" s="7" cm="1">
        <f t="array" ref="G456">_xlfn.XLOOKUP($A456&amp;$B456,Лист2!$A:$A &amp; Лист2!$B:$B,Лист2!E:E)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25">
      <c r="A457" s="8">
        <v>43969</v>
      </c>
      <c r="B457" s="9" t="s">
        <v>18</v>
      </c>
      <c r="C457" s="9">
        <v>14290.5</v>
      </c>
      <c r="D457" s="9">
        <v>1246162.5</v>
      </c>
      <c r="E457" s="7" cm="1">
        <f t="array" ref="E457">_xlfn.XLOOKUP($A457&amp;$B457,Лист2!$A:$A &amp; Лист2!$B:$B,Лист2!C:C)</f>
        <v>16</v>
      </c>
      <c r="F457" s="7" cm="1">
        <f t="array" ref="F457">_xlfn.XLOOKUP($A457&amp;$B457,Лист2!$A:$A &amp; Лист2!$B:$B,Лист2!D:D)</f>
        <v>925</v>
      </c>
      <c r="G457" s="7" cm="1">
        <f t="array" ref="G457">_xlfn.XLOOKUP($A457&amp;$B457,Лист2!$A:$A &amp; Лист2!$B:$B,Лист2!E:E)</f>
        <v>816</v>
      </c>
      <c r="H457">
        <f t="shared" si="14"/>
        <v>77885.16</v>
      </c>
      <c r="I457">
        <f t="shared" si="15"/>
        <v>21</v>
      </c>
    </row>
    <row r="458" spans="1:9" ht="14.25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 s="7" cm="1">
        <f t="array" ref="E458">_xlfn.XLOOKUP($A458&amp;$B458,Лист2!$A:$A &amp; Лист2!$B:$B,Лист2!C:C)</f>
        <v>15</v>
      </c>
      <c r="F458" s="7" cm="1">
        <f t="array" ref="F458">_xlfn.XLOOKUP($A458&amp;$B458,Лист2!$A:$A &amp; Лист2!$B:$B,Лист2!D:D)</f>
        <v>890</v>
      </c>
      <c r="G458" s="7" cm="1">
        <f t="array" ref="G458">_xlfn.XLOOKUP($A458&amp;$B458,Лист2!$A:$A &amp; Лист2!$B:$B,Лист2!E:E)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25">
      <c r="A459" s="8">
        <v>43966</v>
      </c>
      <c r="B459" s="9" t="s">
        <v>18</v>
      </c>
      <c r="C459" s="9">
        <v>16498.5</v>
      </c>
      <c r="D459" s="9">
        <v>1370482.5</v>
      </c>
      <c r="E459" s="7" cm="1">
        <f t="array" ref="E459">_xlfn.XLOOKUP($A459&amp;$B459,Лист2!$A:$A &amp; Лист2!$B:$B,Лист2!C:C)</f>
        <v>15</v>
      </c>
      <c r="F459" s="7" cm="1">
        <f t="array" ref="F459">_xlfn.XLOOKUP($A459&amp;$B459,Лист2!$A:$A &amp; Лист2!$B:$B,Лист2!D:D)</f>
        <v>980</v>
      </c>
      <c r="G459" s="7" cm="1">
        <f t="array" ref="G459">_xlfn.XLOOKUP($A459&amp;$B459,Лист2!$A:$A &amp; Лист2!$B:$B,Лист2!E:E)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 s="7" cm="1">
        <f t="array" ref="E460">_xlfn.XLOOKUP($A460&amp;$B460,Лист2!$A:$A &amp; Лист2!$B:$B,Лист2!C:C)</f>
        <v>15</v>
      </c>
      <c r="F460" s="7" cm="1">
        <f t="array" ref="F460">_xlfn.XLOOKUP($A460&amp;$B460,Лист2!$A:$A &amp; Лист2!$B:$B,Лист2!D:D)</f>
        <v>809</v>
      </c>
      <c r="G460" s="7" cm="1">
        <f t="array" ref="G460">_xlfn.XLOOKUP($A460&amp;$B460,Лист2!$A:$A &amp; Лист2!$B:$B,Лист2!E:E)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25">
      <c r="A461" s="8">
        <v>43973</v>
      </c>
      <c r="B461" s="9" t="s">
        <v>19</v>
      </c>
      <c r="C461" s="9">
        <v>15802.5</v>
      </c>
      <c r="D461" s="9">
        <v>1411909.5</v>
      </c>
      <c r="E461" s="7" cm="1">
        <f t="array" ref="E461">_xlfn.XLOOKUP($A461&amp;$B461,Лист2!$A:$A &amp; Лист2!$B:$B,Лист2!C:C)</f>
        <v>15</v>
      </c>
      <c r="F461" s="7" cm="1">
        <f t="array" ref="F461">_xlfn.XLOOKUP($A461&amp;$B461,Лист2!$A:$A &amp; Лист2!$B:$B,Лист2!D:D)</f>
        <v>903</v>
      </c>
      <c r="G461" s="7" cm="1">
        <f t="array" ref="G461">_xlfn.XLOOKUP($A461&amp;$B461,Лист2!$A:$A &amp; Лист2!$B:$B,Лист2!E:E)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 s="7" cm="1">
        <f t="array" ref="E462">_xlfn.XLOOKUP($A462&amp;$B462,Лист2!$A:$A &amp; Лист2!$B:$B,Лист2!C:C)</f>
        <v>16</v>
      </c>
      <c r="F462" s="7" cm="1">
        <f t="array" ref="F462">_xlfn.XLOOKUP($A462&amp;$B462,Лист2!$A:$A &amp; Лист2!$B:$B,Лист2!D:D)</f>
        <v>1019</v>
      </c>
      <c r="G462" s="7" cm="1">
        <f t="array" ref="G462">_xlfn.XLOOKUP($A462&amp;$B462,Лист2!$A:$A &amp; Лист2!$B:$B,Лист2!E:E)</f>
        <v>895</v>
      </c>
      <c r="H462">
        <f t="shared" si="14"/>
        <v>97852.03</v>
      </c>
      <c r="I462">
        <f t="shared" si="15"/>
        <v>23</v>
      </c>
    </row>
    <row r="463" spans="1:9" ht="14.25" customHeight="1" x14ac:dyDescent="0.25">
      <c r="A463" s="8">
        <v>43962</v>
      </c>
      <c r="B463" s="9" t="s">
        <v>19</v>
      </c>
      <c r="C463" s="9">
        <v>12654</v>
      </c>
      <c r="D463" s="9">
        <v>1081158</v>
      </c>
      <c r="E463" s="7" cm="1">
        <f t="array" ref="E463">_xlfn.XLOOKUP($A463&amp;$B463,Лист2!$A:$A &amp; Лист2!$B:$B,Лист2!C:C)</f>
        <v>15</v>
      </c>
      <c r="F463" s="7" cm="1">
        <f t="array" ref="F463">_xlfn.XLOOKUP($A463&amp;$B463,Лист2!$A:$A &amp; Лист2!$B:$B,Лист2!D:D)</f>
        <v>684</v>
      </c>
      <c r="G463" s="7" cm="1">
        <f t="array" ref="G463">_xlfn.XLOOKUP($A463&amp;$B463,Лист2!$A:$A &amp; Лист2!$B:$B,Лист2!E:E)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 s="7" cm="1">
        <f t="array" ref="E464">_xlfn.XLOOKUP($A464&amp;$B464,Лист2!$A:$A &amp; Лист2!$B:$B,Лист2!C:C)</f>
        <v>17</v>
      </c>
      <c r="F464" s="7" cm="1">
        <f t="array" ref="F464">_xlfn.XLOOKUP($A464&amp;$B464,Лист2!$A:$A &amp; Лист2!$B:$B,Лист2!D:D)</f>
        <v>1296</v>
      </c>
      <c r="G464" s="7" cm="1">
        <f t="array" ref="G464">_xlfn.XLOOKUP($A464&amp;$B464,Лист2!$A:$A &amp; Лист2!$B:$B,Лист2!E:E)</f>
        <v>1153</v>
      </c>
      <c r="H464">
        <f t="shared" si="14"/>
        <v>103804.06</v>
      </c>
      <c r="I464">
        <f t="shared" si="15"/>
        <v>22</v>
      </c>
    </row>
    <row r="465" spans="1:9" ht="14.25" customHeight="1" x14ac:dyDescent="0.25">
      <c r="A465" s="8">
        <v>43969</v>
      </c>
      <c r="B465" s="9" t="s">
        <v>19</v>
      </c>
      <c r="C465" s="9">
        <v>12450</v>
      </c>
      <c r="D465" s="9">
        <v>1115146.5</v>
      </c>
      <c r="E465" s="7" cm="1">
        <f t="array" ref="E465">_xlfn.XLOOKUP($A465&amp;$B465,Лист2!$A:$A &amp; Лист2!$B:$B,Лист2!C:C)</f>
        <v>15</v>
      </c>
      <c r="F465" s="7" cm="1">
        <f t="array" ref="F465">_xlfn.XLOOKUP($A465&amp;$B465,Лист2!$A:$A &amp; Лист2!$B:$B,Лист2!D:D)</f>
        <v>729</v>
      </c>
      <c r="G465" s="7" cm="1">
        <f t="array" ref="G465">_xlfn.XLOOKUP($A465&amp;$B465,Лист2!$A:$A &amp; Лист2!$B:$B,Лист2!E:E)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 s="7" cm="1">
        <f t="array" ref="E466">_xlfn.XLOOKUP($A466&amp;$B466,Лист2!$A:$A &amp; Лист2!$B:$B,Лист2!C:C)</f>
        <v>15</v>
      </c>
      <c r="F466" s="7" cm="1">
        <f t="array" ref="F466">_xlfn.XLOOKUP($A466&amp;$B466,Лист2!$A:$A &amp; Лист2!$B:$B,Лист2!D:D)</f>
        <v>638</v>
      </c>
      <c r="G466" s="7" cm="1">
        <f t="array" ref="G466">_xlfn.XLOOKUP($A466&amp;$B466,Лист2!$A:$A &amp; Лист2!$B:$B,Лист2!E:E)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25">
      <c r="A467" s="8">
        <v>43966</v>
      </c>
      <c r="B467" s="9" t="s">
        <v>19</v>
      </c>
      <c r="C467" s="9">
        <v>12229.5</v>
      </c>
      <c r="D467" s="9">
        <v>1122730.5</v>
      </c>
      <c r="E467" s="7" cm="1">
        <f t="array" ref="E467">_xlfn.XLOOKUP($A467&amp;$B467,Лист2!$A:$A &amp; Лист2!$B:$B,Лист2!C:C)</f>
        <v>15</v>
      </c>
      <c r="F467" s="7" cm="1">
        <f t="array" ref="F467">_xlfn.XLOOKUP($A467&amp;$B467,Лист2!$A:$A &amp; Лист2!$B:$B,Лист2!D:D)</f>
        <v>688</v>
      </c>
      <c r="G467" s="7" cm="1">
        <f t="array" ref="G467">_xlfn.XLOOKUP($A467&amp;$B467,Лист2!$A:$A &amp; Лист2!$B:$B,Лист2!E:E)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 s="7" cm="1">
        <f t="array" ref="E468">_xlfn.XLOOKUP($A468&amp;$B468,Лист2!$A:$A &amp; Лист2!$B:$B,Лист2!C:C)</f>
        <v>20</v>
      </c>
      <c r="F468" s="7" cm="1">
        <f t="array" ref="F468">_xlfn.XLOOKUP($A468&amp;$B468,Лист2!$A:$A &amp; Лист2!$B:$B,Лист2!D:D)</f>
        <v>1873</v>
      </c>
      <c r="G468" s="7" cm="1">
        <f t="array" ref="G468">_xlfn.XLOOKUP($A468&amp;$B468,Лист2!$A:$A &amp; Лист2!$B:$B,Лист2!E:E)</f>
        <v>1715</v>
      </c>
      <c r="H468">
        <f t="shared" si="14"/>
        <v>122927.78</v>
      </c>
      <c r="I468">
        <f t="shared" si="15"/>
        <v>22</v>
      </c>
    </row>
    <row r="469" spans="1:9" ht="14.25" customHeight="1" x14ac:dyDescent="0.25">
      <c r="A469" s="8">
        <v>43973</v>
      </c>
      <c r="B469" s="9" t="s">
        <v>20</v>
      </c>
      <c r="C469" s="9">
        <v>30781.5</v>
      </c>
      <c r="D469" s="9">
        <v>2540715</v>
      </c>
      <c r="E469" s="7" cm="1">
        <f t="array" ref="E469">_xlfn.XLOOKUP($A469&amp;$B469,Лист2!$A:$A &amp; Лист2!$B:$B,Лист2!C:C)</f>
        <v>19</v>
      </c>
      <c r="F469" s="7" cm="1">
        <f t="array" ref="F469">_xlfn.XLOOKUP($A469&amp;$B469,Лист2!$A:$A &amp; Лист2!$B:$B,Лист2!D:D)</f>
        <v>1859</v>
      </c>
      <c r="G469" s="7" cm="1">
        <f t="array" ref="G469">_xlfn.XLOOKUP($A469&amp;$B469,Лист2!$A:$A &amp; Лист2!$B:$B,Лист2!E:E)</f>
        <v>1697</v>
      </c>
      <c r="H469">
        <f t="shared" si="14"/>
        <v>133721.84</v>
      </c>
      <c r="I469">
        <f t="shared" si="15"/>
        <v>21</v>
      </c>
    </row>
    <row r="470" spans="1:9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 s="7" cm="1">
        <f t="array" ref="E470">_xlfn.XLOOKUP($A470&amp;$B470,Лист2!$A:$A &amp; Лист2!$B:$B,Лист2!C:C)</f>
        <v>21</v>
      </c>
      <c r="F470" s="7" cm="1">
        <f t="array" ref="F470">_xlfn.XLOOKUP($A470&amp;$B470,Лист2!$A:$A &amp; Лист2!$B:$B,Лист2!D:D)</f>
        <v>1879</v>
      </c>
      <c r="G470" s="7" cm="1">
        <f t="array" ref="G470">_xlfn.XLOOKUP($A470&amp;$B470,Лист2!$A:$A &amp; Лист2!$B:$B,Лист2!E:E)</f>
        <v>1720</v>
      </c>
      <c r="H470">
        <f t="shared" si="14"/>
        <v>120903.21</v>
      </c>
      <c r="I470">
        <f t="shared" si="15"/>
        <v>23</v>
      </c>
    </row>
    <row r="471" spans="1:9" ht="14.25" customHeight="1" x14ac:dyDescent="0.25">
      <c r="A471" s="8">
        <v>43962</v>
      </c>
      <c r="B471" s="9" t="s">
        <v>20</v>
      </c>
      <c r="C471" s="9">
        <v>23629.5</v>
      </c>
      <c r="D471" s="9">
        <v>2164365</v>
      </c>
      <c r="E471" s="7" cm="1">
        <f t="array" ref="E471">_xlfn.XLOOKUP($A471&amp;$B471,Лист2!$A:$A &amp; Лист2!$B:$B,Лист2!C:C)</f>
        <v>19</v>
      </c>
      <c r="F471" s="7" cm="1">
        <f t="array" ref="F471">_xlfn.XLOOKUP($A471&amp;$B471,Лист2!$A:$A &amp; Лист2!$B:$B,Лист2!D:D)</f>
        <v>1527</v>
      </c>
      <c r="G471" s="7" cm="1">
        <f t="array" ref="G471">_xlfn.XLOOKUP($A471&amp;$B471,Лист2!$A:$A &amp; Лист2!$B:$B,Лист2!E:E)</f>
        <v>1389</v>
      </c>
      <c r="H471">
        <f t="shared" si="14"/>
        <v>113913.95</v>
      </c>
      <c r="I471">
        <f t="shared" si="15"/>
        <v>20</v>
      </c>
    </row>
    <row r="472" spans="1:9" ht="14.25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 s="7" cm="1">
        <f t="array" ref="E472">_xlfn.XLOOKUP($A472&amp;$B472,Лист2!$A:$A &amp; Лист2!$B:$B,Лист2!C:C)</f>
        <v>16</v>
      </c>
      <c r="F472" s="7" cm="1">
        <f t="array" ref="F472">_xlfn.XLOOKUP($A472&amp;$B472,Лист2!$A:$A &amp; Лист2!$B:$B,Лист2!D:D)</f>
        <v>981</v>
      </c>
      <c r="G472" s="7" cm="1">
        <f t="array" ref="G472">_xlfn.XLOOKUP($A472&amp;$B472,Лист2!$A:$A &amp; Лист2!$B:$B,Лист2!E:E)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25">
      <c r="A473" s="8">
        <v>43969</v>
      </c>
      <c r="B473" s="9" t="s">
        <v>20</v>
      </c>
      <c r="C473" s="9">
        <v>27181.5</v>
      </c>
      <c r="D473" s="9">
        <v>2324490</v>
      </c>
      <c r="E473" s="7" cm="1">
        <f t="array" ref="E473">_xlfn.XLOOKUP($A473&amp;$B473,Лист2!$A:$A &amp; Лист2!$B:$B,Лист2!C:C)</f>
        <v>19</v>
      </c>
      <c r="F473" s="7" cm="1">
        <f t="array" ref="F473">_xlfn.XLOOKUP($A473&amp;$B473,Лист2!$A:$A &amp; Лист2!$B:$B,Лист2!D:D)</f>
        <v>1741</v>
      </c>
      <c r="G473" s="7" cm="1">
        <f t="array" ref="G473">_xlfn.XLOOKUP($A473&amp;$B473,Лист2!$A:$A &amp; Лист2!$B:$B,Лист2!E:E)</f>
        <v>1597</v>
      </c>
      <c r="H473">
        <f t="shared" si="14"/>
        <v>122341.58</v>
      </c>
      <c r="I473">
        <f t="shared" si="15"/>
        <v>21</v>
      </c>
    </row>
    <row r="474" spans="1:9" ht="14.25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 s="7" cm="1">
        <f t="array" ref="E474">_xlfn.XLOOKUP($A474&amp;$B474,Лист2!$A:$A &amp; Лист2!$B:$B,Лист2!C:C)</f>
        <v>19</v>
      </c>
      <c r="F474" s="7" cm="1">
        <f t="array" ref="F474">_xlfn.XLOOKUP($A474&amp;$B474,Лист2!$A:$A &amp; Лист2!$B:$B,Лист2!D:D)</f>
        <v>1635</v>
      </c>
      <c r="G474" s="7" cm="1">
        <f t="array" ref="G474">_xlfn.XLOOKUP($A474&amp;$B474,Лист2!$A:$A &amp; Лист2!$B:$B,Лист2!E:E)</f>
        <v>1487</v>
      </c>
      <c r="H474">
        <f t="shared" si="14"/>
        <v>117123.24</v>
      </c>
      <c r="I474">
        <f t="shared" si="15"/>
        <v>20</v>
      </c>
    </row>
    <row r="475" spans="1:9" ht="14.25" customHeight="1" x14ac:dyDescent="0.25">
      <c r="A475" s="8">
        <v>43966</v>
      </c>
      <c r="B475" s="9" t="s">
        <v>20</v>
      </c>
      <c r="C475" s="9">
        <v>29283</v>
      </c>
      <c r="D475" s="9">
        <v>2477487</v>
      </c>
      <c r="E475" s="7" cm="1">
        <f t="array" ref="E475">_xlfn.XLOOKUP($A475&amp;$B475,Лист2!$A:$A &amp; Лист2!$B:$B,Лист2!C:C)</f>
        <v>19</v>
      </c>
      <c r="F475" s="7" cm="1">
        <f t="array" ref="F475">_xlfn.XLOOKUP($A475&amp;$B475,Лист2!$A:$A &amp; Лист2!$B:$B,Лист2!D:D)</f>
        <v>1780</v>
      </c>
      <c r="G475" s="7" cm="1">
        <f t="array" ref="G475">_xlfn.XLOOKUP($A475&amp;$B475,Лист2!$A:$A &amp; Лист2!$B:$B,Лист2!E:E)</f>
        <v>1615</v>
      </c>
      <c r="H475">
        <f t="shared" si="14"/>
        <v>130394.05</v>
      </c>
      <c r="I475">
        <f t="shared" si="15"/>
        <v>20</v>
      </c>
    </row>
    <row r="476" spans="1:9" ht="14.25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 s="7" cm="1">
        <f t="array" ref="E476">_xlfn.XLOOKUP($A476&amp;$B476,Лист2!$A:$A &amp; Лист2!$B:$B,Лист2!C:C)</f>
        <v>20</v>
      </c>
      <c r="F476" s="7" cm="1">
        <f t="array" ref="F476">_xlfn.XLOOKUP($A476&amp;$B476,Лист2!$A:$A &amp; Лист2!$B:$B,Лист2!D:D)</f>
        <v>2064</v>
      </c>
      <c r="G476" s="7" cm="1">
        <f t="array" ref="G476">_xlfn.XLOOKUP($A476&amp;$B476,Лист2!$A:$A &amp; Лист2!$B:$B,Лист2!E:E)</f>
        <v>1896</v>
      </c>
      <c r="H476">
        <f t="shared" si="14"/>
        <v>142737.07999999999</v>
      </c>
      <c r="I476">
        <f t="shared" si="15"/>
        <v>22</v>
      </c>
    </row>
    <row r="477" spans="1:9" ht="14.25" customHeight="1" x14ac:dyDescent="0.25">
      <c r="A477" s="8">
        <v>43978</v>
      </c>
      <c r="B477" s="9" t="s">
        <v>21</v>
      </c>
      <c r="C477" s="9">
        <v>215592</v>
      </c>
      <c r="D477" s="9">
        <v>22342300.5</v>
      </c>
      <c r="E477" s="7" cm="1">
        <f t="array" ref="E477">_xlfn.XLOOKUP($A477&amp;$B477,Лист2!$A:$A &amp; Лист2!$B:$B,Лист2!C:C)</f>
        <v>59</v>
      </c>
      <c r="F477" s="7" cm="1">
        <f t="array" ref="F477">_xlfn.XLOOKUP($A477&amp;$B477,Лист2!$A:$A &amp; Лист2!$B:$B,Лист2!D:D)</f>
        <v>13942</v>
      </c>
      <c r="G477" s="7" cm="1">
        <f t="array" ref="G477">_xlfn.XLOOKUP($A477&amp;$B477,Лист2!$A:$A &amp; Лист2!$B:$B,Лист2!E:E)</f>
        <v>12986</v>
      </c>
      <c r="H477">
        <f t="shared" si="14"/>
        <v>378683.06</v>
      </c>
      <c r="I477">
        <f t="shared" si="15"/>
        <v>22</v>
      </c>
    </row>
    <row r="478" spans="1:9" ht="14.25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 s="7" cm="1">
        <f t="array" ref="E478">_xlfn.XLOOKUP($A478&amp;$B478,Лист2!$A:$A &amp; Лист2!$B:$B,Лист2!C:C)</f>
        <v>60</v>
      </c>
      <c r="F478" s="7" cm="1">
        <f t="array" ref="F478">_xlfn.XLOOKUP($A478&amp;$B478,Лист2!$A:$A &amp; Лист2!$B:$B,Лист2!D:D)</f>
        <v>14050</v>
      </c>
      <c r="G478" s="7" cm="1">
        <f t="array" ref="G478">_xlfn.XLOOKUP($A478&amp;$B478,Лист2!$A:$A &amp; Лист2!$B:$B,Лист2!E:E)</f>
        <v>13027</v>
      </c>
      <c r="H478">
        <f t="shared" si="14"/>
        <v>373012.88</v>
      </c>
      <c r="I478">
        <f t="shared" si="15"/>
        <v>21</v>
      </c>
    </row>
    <row r="479" spans="1:9" ht="14.25" customHeight="1" x14ac:dyDescent="0.25">
      <c r="A479" s="8">
        <v>43983</v>
      </c>
      <c r="B479" s="9" t="s">
        <v>21</v>
      </c>
      <c r="C479" s="9">
        <v>188776.5</v>
      </c>
      <c r="D479" s="9">
        <v>19465372.5</v>
      </c>
      <c r="E479" s="7" cm="1">
        <f t="array" ref="E479">_xlfn.XLOOKUP($A479&amp;$B479,Лист2!$A:$A &amp; Лист2!$B:$B,Лист2!C:C)</f>
        <v>59</v>
      </c>
      <c r="F479" s="7" cm="1">
        <f t="array" ref="F479">_xlfn.XLOOKUP($A479&amp;$B479,Лист2!$A:$A &amp; Лист2!$B:$B,Лист2!D:D)</f>
        <v>12299</v>
      </c>
      <c r="G479" s="7" cm="1">
        <f t="array" ref="G479">_xlfn.XLOOKUP($A479&amp;$B479,Лист2!$A:$A &amp; Лист2!$B:$B,Лист2!E:E)</f>
        <v>11448</v>
      </c>
      <c r="H479">
        <f t="shared" si="14"/>
        <v>329921.57</v>
      </c>
      <c r="I479">
        <f t="shared" si="15"/>
        <v>23</v>
      </c>
    </row>
    <row r="480" spans="1:9" ht="14.25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 s="7" cm="1">
        <f t="array" ref="E480">_xlfn.XLOOKUP($A480&amp;$B480,Лист2!$A:$A &amp; Лист2!$B:$B,Лист2!C:C)</f>
        <v>60</v>
      </c>
      <c r="F480" s="7" cm="1">
        <f t="array" ref="F480">_xlfn.XLOOKUP($A480&amp;$B480,Лист2!$A:$A &amp; Лист2!$B:$B,Лист2!D:D)</f>
        <v>11100</v>
      </c>
      <c r="G480" s="7" cm="1">
        <f t="array" ref="G480">_xlfn.XLOOKUP($A480&amp;$B480,Лист2!$A:$A &amp; Лист2!$B:$B,Лист2!E:E)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25">
      <c r="A481" s="8">
        <v>43969</v>
      </c>
      <c r="B481" s="9" t="s">
        <v>21</v>
      </c>
      <c r="C481" s="9">
        <v>201999</v>
      </c>
      <c r="D481" s="9">
        <v>20422435.5</v>
      </c>
      <c r="E481" s="7" cm="1">
        <f t="array" ref="E481">_xlfn.XLOOKUP($A481&amp;$B481,Лист2!$A:$A &amp; Лист2!$B:$B,Лист2!C:C)</f>
        <v>60</v>
      </c>
      <c r="F481" s="7" cm="1">
        <f t="array" ref="F481">_xlfn.XLOOKUP($A481&amp;$B481,Лист2!$A:$A &amp; Лист2!$B:$B,Лист2!D:D)</f>
        <v>12460</v>
      </c>
      <c r="G481" s="7" cm="1">
        <f t="array" ref="G481">_xlfn.XLOOKUP($A481&amp;$B481,Лист2!$A:$A &amp; Лист2!$B:$B,Лист2!E:E)</f>
        <v>11665</v>
      </c>
      <c r="H481">
        <f t="shared" si="14"/>
        <v>340373.93</v>
      </c>
      <c r="I481">
        <f t="shared" si="15"/>
        <v>21</v>
      </c>
    </row>
    <row r="482" spans="1:9" ht="14.25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 s="7" cm="1">
        <f t="array" ref="E482">_xlfn.XLOOKUP($A482&amp;$B482,Лист2!$A:$A &amp; Лист2!$B:$B,Лист2!C:C)</f>
        <v>60</v>
      </c>
      <c r="F482" s="7" cm="1">
        <f t="array" ref="F482">_xlfn.XLOOKUP($A482&amp;$B482,Лист2!$A:$A &amp; Лист2!$B:$B,Лист2!D:D)</f>
        <v>11935</v>
      </c>
      <c r="G482" s="7" cm="1">
        <f t="array" ref="G482">_xlfn.XLOOKUP($A482&amp;$B482,Лист2!$A:$A &amp; Лист2!$B:$B,Лист2!E:E)</f>
        <v>11178</v>
      </c>
      <c r="H482">
        <f t="shared" si="14"/>
        <v>332373.93</v>
      </c>
      <c r="I482">
        <f t="shared" si="15"/>
        <v>20</v>
      </c>
    </row>
    <row r="483" spans="1:9" ht="14.25" customHeight="1" x14ac:dyDescent="0.25">
      <c r="A483" s="8">
        <v>43966</v>
      </c>
      <c r="B483" s="9" t="s">
        <v>21</v>
      </c>
      <c r="C483" s="9">
        <v>230896.5</v>
      </c>
      <c r="D483" s="9">
        <v>23085222</v>
      </c>
      <c r="E483" s="7" cm="1">
        <f t="array" ref="E483">_xlfn.XLOOKUP($A483&amp;$B483,Лист2!$A:$A &amp; Лист2!$B:$B,Лист2!C:C)</f>
        <v>60</v>
      </c>
      <c r="F483" s="7" cm="1">
        <f t="array" ref="F483">_xlfn.XLOOKUP($A483&amp;$B483,Лист2!$A:$A &amp; Лист2!$B:$B,Лист2!D:D)</f>
        <v>13544</v>
      </c>
      <c r="G483" s="7" cm="1">
        <f t="array" ref="G483">_xlfn.XLOOKUP($A483&amp;$B483,Лист2!$A:$A &amp; Лист2!$B:$B,Лист2!E:E)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 s="7" cm="1">
        <f t="array" ref="E484">_xlfn.XLOOKUP($A484&amp;$B484,Лист2!$A:$A &amp; Лист2!$B:$B,Лист2!C:C)</f>
        <v>54</v>
      </c>
      <c r="F484" s="7" cm="1">
        <f t="array" ref="F484">_xlfn.XLOOKUP($A484&amp;$B484,Лист2!$A:$A &amp; Лист2!$B:$B,Лист2!D:D)</f>
        <v>13091</v>
      </c>
      <c r="G484" s="7" cm="1">
        <f t="array" ref="G484">_xlfn.XLOOKUP($A484&amp;$B484,Лист2!$A:$A &amp; Лист2!$B:$B,Лист2!E:E)</f>
        <v>12216</v>
      </c>
      <c r="H484">
        <f t="shared" si="14"/>
        <v>388024.53</v>
      </c>
      <c r="I484">
        <f t="shared" si="15"/>
        <v>22</v>
      </c>
    </row>
    <row r="485" spans="1:9" ht="14.25" customHeight="1" x14ac:dyDescent="0.25">
      <c r="A485" s="8">
        <v>43973</v>
      </c>
      <c r="B485" s="9" t="s">
        <v>22</v>
      </c>
      <c r="C485" s="9">
        <v>214428</v>
      </c>
      <c r="D485" s="9">
        <v>20812585.5</v>
      </c>
      <c r="E485" s="7" cm="1">
        <f t="array" ref="E485">_xlfn.XLOOKUP($A485&amp;$B485,Лист2!$A:$A &amp; Лист2!$B:$B,Лист2!C:C)</f>
        <v>54</v>
      </c>
      <c r="F485" s="7" cm="1">
        <f t="array" ref="F485">_xlfn.XLOOKUP($A485&amp;$B485,Лист2!$A:$A &amp; Лист2!$B:$B,Лист2!D:D)</f>
        <v>13014</v>
      </c>
      <c r="G485" s="7" cm="1">
        <f t="array" ref="G485">_xlfn.XLOOKUP($A485&amp;$B485,Лист2!$A:$A &amp; Лист2!$B:$B,Лист2!E:E)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 s="7" cm="1">
        <f t="array" ref="E486">_xlfn.XLOOKUP($A486&amp;$B486,Лист2!$A:$A &amp; Лист2!$B:$B,Лист2!C:C)</f>
        <v>54</v>
      </c>
      <c r="F486" s="7" cm="1">
        <f t="array" ref="F486">_xlfn.XLOOKUP($A486&amp;$B486,Лист2!$A:$A &amp; Лист2!$B:$B,Лист2!D:D)</f>
        <v>11864</v>
      </c>
      <c r="G486" s="7" cm="1">
        <f t="array" ref="G486">_xlfn.XLOOKUP($A486&amp;$B486,Лист2!$A:$A &amp; Лист2!$B:$B,Лист2!E:E)</f>
        <v>11071</v>
      </c>
      <c r="H486">
        <f t="shared" si="14"/>
        <v>350262.86</v>
      </c>
      <c r="I486">
        <f t="shared" si="15"/>
        <v>23</v>
      </c>
    </row>
    <row r="487" spans="1:9" ht="14.25" customHeight="1" x14ac:dyDescent="0.25">
      <c r="A487" s="8">
        <v>43962</v>
      </c>
      <c r="B487" s="9" t="s">
        <v>22</v>
      </c>
      <c r="C487" s="9">
        <v>166948.5</v>
      </c>
      <c r="D487" s="9">
        <v>16971231</v>
      </c>
      <c r="E487" s="7" cm="1">
        <f t="array" ref="E487">_xlfn.XLOOKUP($A487&amp;$B487,Лист2!$A:$A &amp; Лист2!$B:$B,Лист2!C:C)</f>
        <v>54</v>
      </c>
      <c r="F487" s="7" cm="1">
        <f t="array" ref="F487">_xlfn.XLOOKUP($A487&amp;$B487,Лист2!$A:$A &amp; Лист2!$B:$B,Лист2!D:D)</f>
        <v>10570</v>
      </c>
      <c r="G487" s="7" cm="1">
        <f t="array" ref="G487">_xlfn.XLOOKUP($A487&amp;$B487,Лист2!$A:$A &amp; Лист2!$B:$B,Лист2!E:E)</f>
        <v>9926</v>
      </c>
      <c r="H487">
        <f t="shared" si="14"/>
        <v>314282.06</v>
      </c>
      <c r="I487">
        <f t="shared" si="15"/>
        <v>20</v>
      </c>
    </row>
    <row r="488" spans="1:9" ht="14.25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 s="7" cm="1">
        <f t="array" ref="E488">_xlfn.XLOOKUP($A488&amp;$B488,Лист2!$A:$A &amp; Лист2!$B:$B,Лист2!C:C)</f>
        <v>59</v>
      </c>
      <c r="F488" s="7" cm="1">
        <f t="array" ref="F488">_xlfn.XLOOKUP($A488&amp;$B488,Лист2!$A:$A &amp; Лист2!$B:$B,Лист2!D:D)</f>
        <v>14507</v>
      </c>
      <c r="G488" s="7" cm="1">
        <f t="array" ref="G488">_xlfn.XLOOKUP($A488&amp;$B488,Лист2!$A:$A &amp; Лист2!$B:$B,Лист2!E:E)</f>
        <v>13386</v>
      </c>
      <c r="H488">
        <f t="shared" si="14"/>
        <v>391871.92</v>
      </c>
      <c r="I488">
        <f t="shared" si="15"/>
        <v>22</v>
      </c>
    </row>
    <row r="489" spans="1:9" ht="14.25" customHeight="1" x14ac:dyDescent="0.25">
      <c r="A489" s="8">
        <v>43969</v>
      </c>
      <c r="B489" s="9" t="s">
        <v>22</v>
      </c>
      <c r="C489" s="9">
        <v>196560</v>
      </c>
      <c r="D489" s="9">
        <v>19855122</v>
      </c>
      <c r="E489" s="7" cm="1">
        <f t="array" ref="E489">_xlfn.XLOOKUP($A489&amp;$B489,Лист2!$A:$A &amp; Лист2!$B:$B,Лист2!C:C)</f>
        <v>54</v>
      </c>
      <c r="F489" s="7" cm="1">
        <f t="array" ref="F489">_xlfn.XLOOKUP($A489&amp;$B489,Лист2!$A:$A &amp; Лист2!$B:$B,Лист2!D:D)</f>
        <v>12012</v>
      </c>
      <c r="G489" s="7" cm="1">
        <f t="array" ref="G489">_xlfn.XLOOKUP($A489&amp;$B489,Лист2!$A:$A &amp; Лист2!$B:$B,Лист2!E:E)</f>
        <v>11308</v>
      </c>
      <c r="H489">
        <f t="shared" si="14"/>
        <v>367687.44</v>
      </c>
      <c r="I489">
        <f t="shared" si="15"/>
        <v>21</v>
      </c>
    </row>
    <row r="490" spans="1:9" ht="14.25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 s="7" cm="1">
        <f t="array" ref="E490">_xlfn.XLOOKUP($A490&amp;$B490,Лист2!$A:$A &amp; Лист2!$B:$B,Лист2!C:C)</f>
        <v>54</v>
      </c>
      <c r="F490" s="7" cm="1">
        <f t="array" ref="F490">_xlfn.XLOOKUP($A490&amp;$B490,Лист2!$A:$A &amp; Лист2!$B:$B,Лист2!D:D)</f>
        <v>11194</v>
      </c>
      <c r="G490" s="7" cm="1">
        <f t="array" ref="G490">_xlfn.XLOOKUP($A490&amp;$B490,Лист2!$A:$A &amp; Лист2!$B:$B,Лист2!E:E)</f>
        <v>10554</v>
      </c>
      <c r="H490">
        <f t="shared" si="14"/>
        <v>345203.67</v>
      </c>
      <c r="I490">
        <f t="shared" si="15"/>
        <v>20</v>
      </c>
    </row>
    <row r="491" spans="1:9" ht="14.25" customHeight="1" x14ac:dyDescent="0.25">
      <c r="A491" s="8">
        <v>43966</v>
      </c>
      <c r="B491" s="9" t="s">
        <v>22</v>
      </c>
      <c r="C491" s="9">
        <v>219772.5</v>
      </c>
      <c r="D491" s="9">
        <v>21895294.5</v>
      </c>
      <c r="E491" s="7" cm="1">
        <f t="array" ref="E491">_xlfn.XLOOKUP($A491&amp;$B491,Лист2!$A:$A &amp; Лист2!$B:$B,Лист2!C:C)</f>
        <v>54</v>
      </c>
      <c r="F491" s="7" cm="1">
        <f t="array" ref="F491">_xlfn.XLOOKUP($A491&amp;$B491,Лист2!$A:$A &amp; Лист2!$B:$B,Лист2!D:D)</f>
        <v>12791</v>
      </c>
      <c r="G491" s="7" cm="1">
        <f t="array" ref="G491">_xlfn.XLOOKUP($A491&amp;$B491,Лист2!$A:$A &amp; Лист2!$B:$B,Лист2!E:E)</f>
        <v>11950</v>
      </c>
      <c r="H491">
        <f t="shared" si="14"/>
        <v>405468.42</v>
      </c>
      <c r="I491">
        <f t="shared" si="15"/>
        <v>20</v>
      </c>
    </row>
    <row r="492" spans="1:9" ht="14.25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 s="7" cm="1">
        <f t="array" ref="E492">_xlfn.XLOOKUP($A492&amp;$B492,Лист2!$A:$A &amp; Лист2!$B:$B,Лист2!C:C)</f>
        <v>54</v>
      </c>
      <c r="F492" s="7" cm="1">
        <f t="array" ref="F492">_xlfn.XLOOKUP($A492&amp;$B492,Лист2!$A:$A &amp; Лист2!$B:$B,Лист2!D:D)</f>
        <v>14031</v>
      </c>
      <c r="G492" s="7" cm="1">
        <f t="array" ref="G492">_xlfn.XLOOKUP($A492&amp;$B492,Лист2!$A:$A &amp; Лист2!$B:$B,Лист2!E:E)</f>
        <v>12943</v>
      </c>
      <c r="H492">
        <f t="shared" si="14"/>
        <v>415113.92</v>
      </c>
      <c r="I492">
        <f t="shared" si="15"/>
        <v>22</v>
      </c>
    </row>
    <row r="493" spans="1:9" ht="14.25" customHeight="1" x14ac:dyDescent="0.25">
      <c r="A493" s="8">
        <v>43978</v>
      </c>
      <c r="B493" s="9" t="s">
        <v>24</v>
      </c>
      <c r="C493" s="9">
        <v>8362.5</v>
      </c>
      <c r="D493" s="9">
        <v>687684</v>
      </c>
      <c r="E493" s="7" cm="1">
        <f t="array" ref="E493">_xlfn.XLOOKUP($A493&amp;$B493,Лист2!$A:$A &amp; Лист2!$B:$B,Лист2!C:C)</f>
        <v>7</v>
      </c>
      <c r="F493" s="7" cm="1">
        <f t="array" ref="F493">_xlfn.XLOOKUP($A493&amp;$B493,Лист2!$A:$A &amp; Лист2!$B:$B,Лист2!D:D)</f>
        <v>409</v>
      </c>
      <c r="G493" s="7" cm="1">
        <f t="array" ref="G493">_xlfn.XLOOKUP($A493&amp;$B493,Лист2!$A:$A &amp; Лист2!$B:$B,Лист2!E:E)</f>
        <v>329</v>
      </c>
      <c r="H493">
        <f t="shared" si="14"/>
        <v>98240.57</v>
      </c>
      <c r="I493">
        <f t="shared" si="15"/>
        <v>22</v>
      </c>
    </row>
    <row r="494" spans="1:9" ht="14.25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 s="7" cm="1">
        <f t="array" ref="E494">_xlfn.XLOOKUP($A494&amp;$B494,Лист2!$A:$A &amp; Лист2!$B:$B,Лист2!C:C)</f>
        <v>18</v>
      </c>
      <c r="F494" s="7" cm="1">
        <f t="array" ref="F494">_xlfn.XLOOKUP($A494&amp;$B494,Лист2!$A:$A &amp; Лист2!$B:$B,Лист2!D:D)</f>
        <v>985</v>
      </c>
      <c r="G494" s="7" cm="1">
        <f t="array" ref="G494">_xlfn.XLOOKUP($A494&amp;$B494,Лист2!$A:$A &amp; Лист2!$B:$B,Лист2!E:E)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25">
      <c r="A495" s="8">
        <v>43983</v>
      </c>
      <c r="B495" s="9" t="s">
        <v>25</v>
      </c>
      <c r="C495" s="9">
        <v>5166</v>
      </c>
      <c r="D495" s="9">
        <v>389013</v>
      </c>
      <c r="E495" s="7" cm="1">
        <f t="array" ref="E495">_xlfn.XLOOKUP($A495&amp;$B495,Лист2!$A:$A &amp; Лист2!$B:$B,Лист2!C:C)</f>
        <v>9</v>
      </c>
      <c r="F495" s="7" cm="1">
        <f t="array" ref="F495">_xlfn.XLOOKUP($A495&amp;$B495,Лист2!$A:$A &amp; Лист2!$B:$B,Лист2!D:D)</f>
        <v>294</v>
      </c>
      <c r="G495" s="7" cm="1">
        <f t="array" ref="G495">_xlfn.XLOOKUP($A495&amp;$B495,Лист2!$A:$A &amp; Лист2!$B:$B,Лист2!E:E)</f>
        <v>224</v>
      </c>
      <c r="H495">
        <f t="shared" si="14"/>
        <v>43223.67</v>
      </c>
      <c r="I495">
        <f t="shared" si="15"/>
        <v>23</v>
      </c>
    </row>
    <row r="496" spans="1:9" ht="14.25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 s="7" cm="1">
        <f t="array" ref="E496">_xlfn.XLOOKUP($A496&amp;$B496,Лист2!$A:$A &amp; Лист2!$B:$B,Лист2!C:C)</f>
        <v>15</v>
      </c>
      <c r="F496" s="7" cm="1">
        <f t="array" ref="F496">_xlfn.XLOOKUP($A496&amp;$B496,Лист2!$A:$A &amp; Лист2!$B:$B,Лист2!D:D)</f>
        <v>654</v>
      </c>
      <c r="G496" s="7" cm="1">
        <f t="array" ref="G496">_xlfn.XLOOKUP($A496&amp;$B496,Лист2!$A:$A &amp; Лист2!$B:$B,Лист2!E:E)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25">
      <c r="A497" s="8">
        <v>43969</v>
      </c>
      <c r="B497" s="9" t="s">
        <v>23</v>
      </c>
      <c r="C497" s="9">
        <v>14497.5</v>
      </c>
      <c r="D497" s="9">
        <v>1230711</v>
      </c>
      <c r="E497" s="7" cm="1">
        <f t="array" ref="E497">_xlfn.XLOOKUP($A497&amp;$B497,Лист2!$A:$A &amp; Лист2!$B:$B,Лист2!C:C)</f>
        <v>16</v>
      </c>
      <c r="F497" s="7" cm="1">
        <f t="array" ref="F497">_xlfn.XLOOKUP($A497&amp;$B497,Лист2!$A:$A &amp; Лист2!$B:$B,Лист2!D:D)</f>
        <v>864</v>
      </c>
      <c r="G497" s="7" cm="1">
        <f t="array" ref="G497">_xlfn.XLOOKUP($A497&amp;$B497,Лист2!$A:$A &amp; Лист2!$B:$B,Лист2!E:E)</f>
        <v>765</v>
      </c>
      <c r="H497">
        <f t="shared" si="14"/>
        <v>76919.44</v>
      </c>
      <c r="I497">
        <f t="shared" si="15"/>
        <v>21</v>
      </c>
    </row>
    <row r="498" spans="1:9" ht="14.25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 s="7" cm="1">
        <f t="array" ref="E498">_xlfn.XLOOKUP($A498&amp;$B498,Лист2!$A:$A &amp; Лист2!$B:$B,Лист2!C:C)</f>
        <v>16</v>
      </c>
      <c r="F498" s="7" cm="1">
        <f t="array" ref="F498">_xlfn.XLOOKUP($A498&amp;$B498,Лист2!$A:$A &amp; Лист2!$B:$B,Лист2!D:D)</f>
        <v>834</v>
      </c>
      <c r="G498" s="7" cm="1">
        <f t="array" ref="G498">_xlfn.XLOOKUP($A498&amp;$B498,Лист2!$A:$A &amp; Лист2!$B:$B,Лист2!E:E)</f>
        <v>735</v>
      </c>
      <c r="H498">
        <f t="shared" si="14"/>
        <v>70729.78</v>
      </c>
      <c r="I498">
        <f t="shared" si="15"/>
        <v>20</v>
      </c>
    </row>
    <row r="499" spans="1:9" ht="14.25" customHeight="1" x14ac:dyDescent="0.25">
      <c r="A499" s="8">
        <v>43966</v>
      </c>
      <c r="B499" s="9" t="s">
        <v>23</v>
      </c>
      <c r="C499" s="9">
        <v>13752</v>
      </c>
      <c r="D499" s="9">
        <v>1091040</v>
      </c>
      <c r="E499" s="7" cm="1">
        <f t="array" ref="E499">_xlfn.XLOOKUP($A499&amp;$B499,Лист2!$A:$A &amp; Лист2!$B:$B,Лист2!C:C)</f>
        <v>16</v>
      </c>
      <c r="F499" s="7" cm="1">
        <f t="array" ref="F499">_xlfn.XLOOKUP($A499&amp;$B499,Лист2!$A:$A &amp; Лист2!$B:$B,Лист2!D:D)</f>
        <v>817</v>
      </c>
      <c r="G499" s="7" cm="1">
        <f t="array" ref="G499">_xlfn.XLOOKUP($A499&amp;$B499,Лист2!$A:$A &amp; Лист2!$B:$B,Лист2!E:E)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 s="7" cm="1">
        <f t="array" ref="E500">_xlfn.XLOOKUP($A500&amp;$B500,Лист2!$A:$A &amp; Лист2!$B:$B,Лист2!C:C)</f>
        <v>18</v>
      </c>
      <c r="F500" s="7" cm="1">
        <f t="array" ref="F500">_xlfn.XLOOKUP($A500&amp;$B500,Лист2!$A:$A &amp; Лист2!$B:$B,Лист2!D:D)</f>
        <v>962</v>
      </c>
      <c r="G500" s="7" cm="1">
        <f t="array" ref="G500">_xlfn.XLOOKUP($A500&amp;$B500,Лист2!$A:$A &amp; Лист2!$B:$B,Лист2!E:E)</f>
        <v>859</v>
      </c>
      <c r="H500">
        <f t="shared" si="14"/>
        <v>75011.08</v>
      </c>
      <c r="I500">
        <f t="shared" si="15"/>
        <v>22</v>
      </c>
    </row>
    <row r="501" spans="1:9" ht="14.25" customHeight="1" x14ac:dyDescent="0.25">
      <c r="A501" s="8">
        <v>43983</v>
      </c>
      <c r="B501" s="9" t="s">
        <v>26</v>
      </c>
      <c r="C501" s="9">
        <v>4408.5</v>
      </c>
      <c r="D501" s="9">
        <v>410892</v>
      </c>
      <c r="E501" s="7" cm="1">
        <f t="array" ref="E501">_xlfn.XLOOKUP($A501&amp;$B501,Лист2!$A:$A &amp; Лист2!$B:$B,Лист2!C:C)</f>
        <v>6</v>
      </c>
      <c r="F501" s="7" cm="1">
        <f t="array" ref="F501">_xlfn.XLOOKUP($A501&amp;$B501,Лист2!$A:$A &amp; Лист2!$B:$B,Лист2!D:D)</f>
        <v>237</v>
      </c>
      <c r="G501" s="7" cm="1">
        <f t="array" ref="G501">_xlfn.XLOOKUP($A501&amp;$B501,Лист2!$A:$A &amp; Лист2!$B:$B,Лист2!E:E)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 s="7" cm="1">
        <f t="array" ref="E502">_xlfn.XLOOKUP($A502&amp;$B502,Лист2!$A:$A &amp; Лист2!$B:$B,Лист2!C:C)</f>
        <v>7</v>
      </c>
      <c r="F502" s="7" cm="1">
        <f t="array" ref="F502">_xlfn.XLOOKUP($A502&amp;$B502,Лист2!$A:$A &amp; Лист2!$B:$B,Лист2!D:D)</f>
        <v>491</v>
      </c>
      <c r="G502" s="7" cm="1">
        <f t="array" ref="G502">_xlfn.XLOOKUP($A502&amp;$B502,Лист2!$A:$A &amp; Лист2!$B:$B,Лист2!E:E)</f>
        <v>411</v>
      </c>
      <c r="H502">
        <f t="shared" si="14"/>
        <v>121548.64</v>
      </c>
      <c r="I502">
        <f t="shared" si="15"/>
        <v>22</v>
      </c>
    </row>
    <row r="503" spans="1:9" ht="14.25" customHeight="1" x14ac:dyDescent="0.25">
      <c r="A503" s="8">
        <v>43983</v>
      </c>
      <c r="B503" s="9" t="s">
        <v>24</v>
      </c>
      <c r="C503" s="9">
        <v>9474</v>
      </c>
      <c r="D503" s="9">
        <v>802447.5</v>
      </c>
      <c r="E503" s="7" cm="1">
        <f t="array" ref="E503">_xlfn.XLOOKUP($A503&amp;$B503,Лист2!$A:$A &amp; Лист2!$B:$B,Лист2!C:C)</f>
        <v>7</v>
      </c>
      <c r="F503" s="7" cm="1">
        <f t="array" ref="F503">_xlfn.XLOOKUP($A503&amp;$B503,Лист2!$A:$A &amp; Лист2!$B:$B,Лист2!D:D)</f>
        <v>500</v>
      </c>
      <c r="G503" s="7" cm="1">
        <f t="array" ref="G503">_xlfn.XLOOKUP($A503&amp;$B503,Лист2!$A:$A &amp; Лист2!$B:$B,Лист2!E:E)</f>
        <v>418</v>
      </c>
      <c r="H503">
        <f t="shared" si="14"/>
        <v>114635.36</v>
      </c>
      <c r="I503">
        <f t="shared" si="15"/>
        <v>23</v>
      </c>
    </row>
    <row r="504" spans="1:9" ht="14.25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 s="7" cm="1">
        <f t="array" ref="E504">_xlfn.XLOOKUP($A504&amp;$B504,Лист2!$A:$A &amp; Лист2!$B:$B,Лист2!C:C)</f>
        <v>18</v>
      </c>
      <c r="F504" s="7" cm="1">
        <f t="array" ref="F504">_xlfn.XLOOKUP($A504&amp;$B504,Лист2!$A:$A &amp; Лист2!$B:$B,Лист2!D:D)</f>
        <v>1014</v>
      </c>
      <c r="G504" s="7" cm="1">
        <f t="array" ref="G504">_xlfn.XLOOKUP($A504&amp;$B504,Лист2!$A:$A &amp; Лист2!$B:$B,Лист2!E:E)</f>
        <v>893</v>
      </c>
      <c r="H504">
        <f t="shared" si="14"/>
        <v>79903.08</v>
      </c>
      <c r="I504">
        <f t="shared" si="15"/>
        <v>22</v>
      </c>
    </row>
    <row r="505" spans="1:9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 s="7" cm="1">
        <f t="array" ref="E505">_xlfn.XLOOKUP($A505&amp;$B505,Лист2!$A:$A &amp; Лист2!$B:$B,Лист2!C:C)</f>
        <v>18</v>
      </c>
      <c r="F505" s="7" cm="1">
        <f t="array" ref="F505">_xlfn.XLOOKUP($A505&amp;$B505,Лист2!$A:$A &amp; Лист2!$B:$B,Лист2!D:D)</f>
        <v>923</v>
      </c>
      <c r="G505" s="7" cm="1">
        <f t="array" ref="G505">_xlfn.XLOOKUP($A505&amp;$B505,Лист2!$A:$A &amp; Лист2!$B:$B,Лист2!E:E)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I505" xr:uid="{00000000-0001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499" sqref="B499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E505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Лист3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k719</cp:lastModifiedBy>
  <dcterms:created xsi:type="dcterms:W3CDTF">2021-09-13T10:17:58Z</dcterms:created>
  <dcterms:modified xsi:type="dcterms:W3CDTF">2026-05-17T08:47:07Z</dcterms:modified>
</cp:coreProperties>
</file>